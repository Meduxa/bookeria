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" state="visible" r:id="rId4"/>
    <sheet sheetId="4" name="Summary" state="visible" r:id="rId5"/>
    <sheet sheetId="2" name="Scenarios" state="visible" r:id="rId6"/>
    <sheet sheetId="3" name="Problems" state="visible" r:id="rId7"/>
  </sheets>
  <calcPr calcId="171027"/>
</workbook>
</file>

<file path=xl/sharedStrings.xml><?xml version="1.0" encoding="utf-8"?>
<sst xmlns="http://schemas.openxmlformats.org/spreadsheetml/2006/main" count="402" uniqueCount="347">
  <si>
    <t>Bookeria pilot tracker</t>
  </si>
  <si>
    <t/>
  </si>
  <si>
    <t>Scenarios tab: one row per test from docs/pilot-test-plan.md. Write your name, the date, the device, then Result: Pass / Fail / Blocked.</t>
  </si>
  <si>
    <t>If a test fails: add a row in the Problems tab and write its number (P-1, P-2…) in the Problem # column of the scenario.</t>
  </si>
  <si>
    <t>Severity</t>
  </si>
  <si>
    <t>A — data wrong or lost, money wrong, someone sees another business's data, booking impossible → tell Claude at once.</t>
  </si>
  <si>
    <t>B — a feature does not work, but there is a workaround.</t>
  </si>
  <si>
    <t>C — looks wrong, unclear text, an idea.</t>
  </si>
  <si>
    <t>Rules</t>
  </si>
  <si>
    <t>Never write real client names or phone numbers here — describe them ("client with 2 visits").</t>
  </si>
  <si>
    <t>Copy the page address from the browser into the Page column. Attach screenshots as a link (Google Drive) or paste them into the cell.</t>
  </si>
  <si>
    <t>Demo site: https://bookeria1.netlify.app — demo accounts in docs/pilot-test-plan.md (password Demo-Bookeria-2026).</t>
  </si>
  <si>
    <t>Scenarios</t>
  </si>
  <si>
    <t>Total</t>
  </si>
  <si>
    <t>Pass</t>
  </si>
  <si>
    <t>Fail</t>
  </si>
  <si>
    <t>Blocked</t>
  </si>
  <si>
    <t>Not tested yet</t>
  </si>
  <si>
    <t>Problems</t>
  </si>
  <si>
    <t>Open A (must be 0 to move on)</t>
  </si>
  <si>
    <t>Open B</t>
  </si>
  <si>
    <t>Open C</t>
  </si>
  <si>
    <t>Fixed and checked</t>
  </si>
  <si>
    <t>Stage</t>
  </si>
  <si>
    <t>Section</t>
  </si>
  <si>
    <t>#</t>
  </si>
  <si>
    <t>Scenario</t>
  </si>
  <si>
    <t>Expected</t>
  </si>
  <si>
    <t>Tested by</t>
  </si>
  <si>
    <t>Date</t>
  </si>
  <si>
    <t>Device</t>
  </si>
  <si>
    <t>Language</t>
  </si>
  <si>
    <t>Result</t>
  </si>
  <si>
    <t>Problem #</t>
  </si>
  <si>
    <t>Notes</t>
  </si>
  <si>
    <t>1.1 · Client: online booking (phone first)</t>
  </si>
  <si>
    <t>Open the salon website, read about, photos, team, hours, map</t>
  </si>
  <si>
    <t>Everything readable on a phone, Book button visible</t>
  </si>
  <si>
    <t>Book "by service": service → any specialist → date → time → name/phone</t>
  </si>
  <si>
    <t>Confirmation screen with date, time, specialist; booking appears in the owner's calendar</t>
  </si>
  <si>
    <t>Book "by specialist"</t>
  </si>
  <si>
    <t>Only that specialist's services and times</t>
  </si>
  <si>
    <t>Two services in one visit</t>
  </si>
  <si>
    <t>Total time and price add up</t>
  </si>
  <si>
    <t>Try a day the salon is closed / a time already taken</t>
  </si>
  <si>
    <t>Not offered</t>
  </si>
  <si>
    <t>Same time from two phones at once</t>
  </si>
  <si>
    <t>Only one gets it, the other sees "time taken"</t>
  </si>
  <si>
    <t>Open the "manage my booking" link from the confirmation; move it; cancel it</t>
  </si>
  <si>
    <t>Calendar updates; cancelling inside the no-cancel window is refused</t>
  </si>
  <si>
    <t>Switch language on the booking page</t>
  </si>
  <si>
    <t>Everything translated, no English left in Georgian</t>
  </si>
  <si>
    <t>Dental clinic booking page</t>
  </si>
  <si>
    <t>Works the same, clinic theme</t>
  </si>
  <si>
    <t>Marketing tick boxes left empty vs ticked</t>
  </si>
  <si>
    <t>Client card shows consent only when ticked</t>
  </si>
  <si>
    <t>1.2 · Staff (specialist) on a phone</t>
  </si>
  <si>
    <t>Sign in, see today's own bookings</t>
  </si>
  <si>
    <t>Only allowed bookings (setting "staff sees all")</t>
  </si>
  <si>
    <t>Open a booking, mark arrived / done / no-show</t>
  </si>
  <si>
    <t>Status changes everywhere</t>
  </si>
  <si>
    <t>Try to open Settings, reports, export</t>
  </si>
  <si>
    <t>Refused or hidden</t>
  </si>
  <si>
    <t>Dental doctor: write a treatment note</t>
  </si>
  <si>
    <t>Saved; staff of the salon can never see it</t>
  </si>
  <si>
    <t>1.3 · Admin / reception</t>
  </si>
  <si>
    <t>New booking from the calendar for a new client by phone</t>
  </si>
  <si>
    <t>Client created, phone stored as +995…</t>
  </si>
  <si>
    <t>Move a booking to another time / specialist</t>
  </si>
  <si>
    <t>Moves; refuses overlaps</t>
  </si>
  <si>
    <t>Block time (lunch, day off)</t>
  </si>
  <si>
    <t>No online bookings in that time</t>
  </si>
  <si>
    <t>Cancel a booking; waitlist offer by SMS</t>
  </si>
  <si>
    <t>Freed time offered to waiting clients</t>
  </si>
  <si>
    <t>Checkout: price, discount, payment method</t>
  </si>
  <si>
    <t>Receipt total correct in ₾, appears in reports</t>
  </si>
  <si>
    <t>Search a client, open the card, history, notes</t>
  </si>
  <si>
    <t>Correct history</t>
  </si>
  <si>
    <t>Import clients from Excel (use the sample)</t>
  </si>
  <si>
    <t>Imported without duplicates, no SMS sent</t>
  </si>
  <si>
    <t>1.4 · Owner</t>
  </si>
  <si>
    <t>Services: add, edit price, variants, hide from online</t>
  </si>
  <si>
    <t>Booking page updates</t>
  </si>
  <si>
    <t>Team: invite a staff member, set hours, remove</t>
  </si>
  <si>
    <t>Invite works; removed person can't sign in to this business</t>
  </si>
  <si>
    <t>Business hours, holidays, online booking rules (how far ahead, cancel window, SMS code)</t>
  </si>
  <si>
    <t>Booking page follows them</t>
  </si>
  <si>
    <t>Website settings: cover, logo, about (3 languages), Instagram, theme</t>
  </si>
  <si>
    <t>Website changes immediately</t>
  </si>
  <si>
    <t>SMS templates and reminder times</t>
  </si>
  <si>
    <t>Preview shows the right text</t>
  </si>
  <si>
    <t>Reports: this month, by specialist, Excel download</t>
  </si>
  <si>
    <t>Numbers match the bookings</t>
  </si>
  <si>
    <t>Export all data (Excel/JSON); delete one client</t>
  </si>
  <si>
    <t>Export opens; deleted client gone, bookings anonymous</t>
  </si>
  <si>
    <t>Audit log</t>
  </si>
  <si>
    <t>Shows who did what</t>
  </si>
  <si>
    <t>Allow Bookeria support for 24 h, then end it</t>
  </si>
  <si>
    <t>Platform admin can look, cannot change anything</t>
  </si>
  <si>
    <t>Sign out of all devices</t>
  </si>
  <si>
    <t>Other devices signed out on next click</t>
  </si>
  <si>
    <t>1.5 · Platform admin (Levan)</t>
  </si>
  <si>
    <t>Businesses list, open one, extend trial, add SMS</t>
  </si>
  <si>
    <t>Saved, written to the business's audit log</t>
  </si>
  <si>
    <t>Plans: set names and prices</t>
  </si>
  <si>
    <t>Landing page shows prices once all are set</t>
  </si>
  <si>
    <t>Sign up a brand-new business from the landing page</t>
  </si>
  <si>
    <t>Onboarding works end to end (on the demo the email step may not arrive — note it)</t>
  </si>
  <si>
    <t>1.6 · General</t>
  </si>
  <si>
    <t>Install as an app on the phone ("Add to home screen"), open from the icon</t>
  </si>
  <si>
    <t>Slow / no internet: clear message, nothing lost</t>
  </si>
  <si>
    <t>Every page in ka / en / ru — note untranslated or awkward text</t>
  </si>
  <si>
    <t>Dark mode on the phone</t>
  </si>
  <si>
    <t>2 · Production check</t>
  </si>
  <si>
    <t>Open bookeria.ge, www.bookeria.ge, bukeria.ge</t>
  </si>
  <si>
    <t>All reach the landing page over https</t>
  </si>
  <si>
    <t>Sign up as a new business with your real email</t>
  </si>
  <si>
    <t>Confirmation email arrives (inbox, not spam)</t>
  </si>
  <si>
    <t>Password reset; invite a staff member</t>
  </si>
  <si>
    <t>Emails arrive within a minute</t>
  </si>
  <si>
    <t>Short address yourtest.bookeria.ge on a phone</t>
  </si>
  <si>
    <t>Website opens; booking works</t>
  </si>
  <si>
    <t>Book with your real phone: SMS code, confirmation</t>
  </si>
  <si>
    <t>SMS arrive within seconds, sender "Bookeria"</t>
  </si>
  <si>
    <t>Booking for tomorrow + 24 h / 2 h reminders</t>
  </si>
  <si>
    <t>Reminders arrive on time (up to 5 min late)</t>
  </si>
  <si>
    <t>SMS balance goes down; admin top-up</t>
  </si>
  <si>
    <t>Correct counts</t>
  </si>
  <si>
    <t>Marketing SMS unsubscribe link</t>
  </si>
  <si>
    <t>Client's consent switched off</t>
  </si>
  <si>
    <t>Sentry: Claude triggers a test error</t>
  </si>
  <si>
    <t>Error visible in Sentry</t>
  </si>
  <si>
    <t>Backups: first daily backup exists; restore test done once</t>
  </si>
  <si>
    <t>Yes</t>
  </si>
  <si>
    <t>Two businesses: neither sees the other's data (Claude also runs the automatic isolation tests against production setup)</t>
  </si>
  <si>
    <t>Speed: calendar and booking page on a phone over mobile data</t>
  </si>
  <si>
    <t>Under ~2 s after the first load</t>
  </si>
  <si>
    <t>Who</t>
  </si>
  <si>
    <t>Role used</t>
  </si>
  <si>
    <t>Device + browser</t>
  </si>
  <si>
    <t>Page (address)</t>
  </si>
  <si>
    <t>What I did</t>
  </si>
  <si>
    <t>What I expected</t>
  </si>
  <si>
    <t>What happened</t>
  </si>
  <si>
    <t>Screenshot (link)</t>
  </si>
  <si>
    <t>Status</t>
  </si>
  <si>
    <t>Claude's answer / fix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</si>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</sst>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16233A"/>
      <sz val="16"/>
    </font>
    <font>
      <b/>
      <color rgb="FF16233A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7F5F1"/>
      </patternFill>
    </fill>
    <fill>
      <patternFill patternType="solid">
        <fgColor rgb="FF16233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bgColor rgb="FFD1FAE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3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1</v>
      </c>
    </row>
    <row r="11" spans="1:1" x14ac:dyDescent="0.25">
      <c r="A11" s="3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5" customWidth="1"/>
    <col min="4" max="4" width="52" customWidth="1"/>
    <col min="5" max="5" width="44" customWidth="1"/>
    <col min="6" max="6" width="13" customWidth="1"/>
    <col min="7" max="7" width="12" customWidth="1"/>
    <col min="8" max="8" width="16" customWidth="1"/>
    <col min="9" max="10" width="10" customWidth="1"/>
    <col min="11" max="11" width="11" customWidth="1"/>
    <col min="12" max="12" width="40" customWidth="1"/>
  </cols>
  <sheetData>
    <row r="1" ht="30" customHeight="1" spans="1:12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</row>
    <row r="2" spans="1:10" s="7" customFormat="1" x14ac:dyDescent="0.25">
      <c r="A2" s="7">
        <v>1</v>
      </c>
      <c r="B2" s="7" t="s">
        <v>35</v>
      </c>
      <c r="C2" s="7">
        <v>1</v>
      </c>
      <c r="D2" s="7" t="s">
        <v>36</v>
      </c>
      <c r="E2" s="7" t="s">
        <v>37</v>
      </c>
      <c r="G2" s="8"/>
      <c r="H2" s="7"/>
      <c r="I2" s="7"/>
      <c r="J2" s="7"/>
    </row>
    <row r="3" spans="1:10" s="7" customFormat="1" x14ac:dyDescent="0.25">
      <c r="A3" s="7">
        <v>1</v>
      </c>
      <c r="B3" s="7" t="s">
        <v>35</v>
      </c>
      <c r="C3" s="7">
        <v>2</v>
      </c>
      <c r="D3" s="7" t="s">
        <v>38</v>
      </c>
      <c r="E3" s="7" t="s">
        <v>39</v>
      </c>
      <c r="G3" s="8"/>
      <c r="H3" s="7"/>
      <c r="I3" s="7"/>
      <c r="J3" s="7"/>
    </row>
    <row r="4" spans="1:10" s="7" customFormat="1" x14ac:dyDescent="0.25">
      <c r="A4" s="7">
        <v>1</v>
      </c>
      <c r="B4" s="7" t="s">
        <v>35</v>
      </c>
      <c r="C4" s="7">
        <v>3</v>
      </c>
      <c r="D4" s="7" t="s">
        <v>40</v>
      </c>
      <c r="E4" s="7" t="s">
        <v>41</v>
      </c>
      <c r="G4" s="8"/>
      <c r="H4" s="7"/>
      <c r="I4" s="7"/>
      <c r="J4" s="7"/>
    </row>
    <row r="5" spans="1:10" s="7" customFormat="1" x14ac:dyDescent="0.25">
      <c r="A5" s="7">
        <v>1</v>
      </c>
      <c r="B5" s="7" t="s">
        <v>35</v>
      </c>
      <c r="C5" s="7">
        <v>4</v>
      </c>
      <c r="D5" s="7" t="s">
        <v>42</v>
      </c>
      <c r="E5" s="7" t="s">
        <v>43</v>
      </c>
      <c r="G5" s="8"/>
      <c r="H5" s="7"/>
      <c r="I5" s="7"/>
      <c r="J5" s="7"/>
    </row>
    <row r="6" spans="1:10" s="7" customFormat="1" x14ac:dyDescent="0.25">
      <c r="A6" s="7">
        <v>1</v>
      </c>
      <c r="B6" s="7" t="s">
        <v>35</v>
      </c>
      <c r="C6" s="7">
        <v>5</v>
      </c>
      <c r="D6" s="7" t="s">
        <v>44</v>
      </c>
      <c r="E6" s="7" t="s">
        <v>45</v>
      </c>
      <c r="G6" s="8"/>
      <c r="H6" s="7"/>
      <c r="I6" s="7"/>
      <c r="J6" s="7"/>
    </row>
    <row r="7" spans="1:10" s="7" customFormat="1" x14ac:dyDescent="0.25">
      <c r="A7" s="7">
        <v>1</v>
      </c>
      <c r="B7" s="7" t="s">
        <v>35</v>
      </c>
      <c r="C7" s="7">
        <v>6</v>
      </c>
      <c r="D7" s="7" t="s">
        <v>46</v>
      </c>
      <c r="E7" s="7" t="s">
        <v>47</v>
      </c>
      <c r="G7" s="8"/>
      <c r="H7" s="7"/>
      <c r="I7" s="7"/>
      <c r="J7" s="7"/>
    </row>
    <row r="8" spans="1:10" s="7" customFormat="1" x14ac:dyDescent="0.25">
      <c r="A8" s="7">
        <v>1</v>
      </c>
      <c r="B8" s="7" t="s">
        <v>35</v>
      </c>
      <c r="C8" s="7">
        <v>7</v>
      </c>
      <c r="D8" s="7" t="s">
        <v>48</v>
      </c>
      <c r="E8" s="7" t="s">
        <v>49</v>
      </c>
      <c r="G8" s="8"/>
      <c r="H8" s="7"/>
      <c r="I8" s="7"/>
      <c r="J8" s="7"/>
    </row>
    <row r="9" spans="1:10" s="7" customFormat="1" x14ac:dyDescent="0.25">
      <c r="A9" s="7">
        <v>1</v>
      </c>
      <c r="B9" s="7" t="s">
        <v>35</v>
      </c>
      <c r="C9" s="7">
        <v>8</v>
      </c>
      <c r="D9" s="7" t="s">
        <v>50</v>
      </c>
      <c r="E9" s="7" t="s">
        <v>51</v>
      </c>
      <c r="G9" s="8"/>
      <c r="H9" s="7"/>
      <c r="I9" s="7"/>
      <c r="J9" s="7"/>
    </row>
    <row r="10" spans="1:10" s="7" customFormat="1" x14ac:dyDescent="0.25">
      <c r="A10" s="7">
        <v>1</v>
      </c>
      <c r="B10" s="7" t="s">
        <v>35</v>
      </c>
      <c r="C10" s="7">
        <v>9</v>
      </c>
      <c r="D10" s="7" t="s">
        <v>52</v>
      </c>
      <c r="E10" s="7" t="s">
        <v>53</v>
      </c>
      <c r="G10" s="8"/>
      <c r="H10" s="7"/>
      <c r="I10" s="7"/>
      <c r="J10" s="7"/>
    </row>
    <row r="11" spans="1:10" s="7" customFormat="1" x14ac:dyDescent="0.25">
      <c r="A11" s="7">
        <v>1</v>
      </c>
      <c r="B11" s="7" t="s">
        <v>35</v>
      </c>
      <c r="C11" s="7">
        <v>10</v>
      </c>
      <c r="D11" s="7" t="s">
        <v>54</v>
      </c>
      <c r="E11" s="7" t="s">
        <v>55</v>
      </c>
      <c r="G11" s="8"/>
      <c r="H11" s="7"/>
      <c r="I11" s="7"/>
      <c r="J11" s="7"/>
    </row>
    <row r="12" spans="1:10" s="7" customFormat="1" x14ac:dyDescent="0.25">
      <c r="A12" s="7">
        <v>1</v>
      </c>
      <c r="B12" s="7" t="s">
        <v>56</v>
      </c>
      <c r="C12" s="7">
        <v>11</v>
      </c>
      <c r="D12" s="7" t="s">
        <v>57</v>
      </c>
      <c r="E12" s="7" t="s">
        <v>58</v>
      </c>
      <c r="G12" s="8"/>
      <c r="H12" s="7"/>
      <c r="I12" s="7"/>
      <c r="J12" s="7"/>
    </row>
    <row r="13" spans="1:10" s="7" customFormat="1" x14ac:dyDescent="0.25">
      <c r="A13" s="7">
        <v>1</v>
      </c>
      <c r="B13" s="7" t="s">
        <v>56</v>
      </c>
      <c r="C13" s="7">
        <v>12</v>
      </c>
      <c r="D13" s="7" t="s">
        <v>59</v>
      </c>
      <c r="E13" s="7" t="s">
        <v>60</v>
      </c>
      <c r="G13" s="8"/>
      <c r="H13" s="7"/>
      <c r="I13" s="7"/>
      <c r="J13" s="7"/>
    </row>
    <row r="14" spans="1:10" s="7" customFormat="1" x14ac:dyDescent="0.25">
      <c r="A14" s="7">
        <v>1</v>
      </c>
      <c r="B14" s="7" t="s">
        <v>56</v>
      </c>
      <c r="C14" s="7">
        <v>13</v>
      </c>
      <c r="D14" s="7" t="s">
        <v>61</v>
      </c>
      <c r="E14" s="7" t="s">
        <v>62</v>
      </c>
      <c r="G14" s="8"/>
      <c r="H14" s="7"/>
      <c r="I14" s="7"/>
      <c r="J14" s="7"/>
    </row>
    <row r="15" spans="1:10" s="7" customFormat="1" x14ac:dyDescent="0.25">
      <c r="A15" s="7">
        <v>1</v>
      </c>
      <c r="B15" s="7" t="s">
        <v>56</v>
      </c>
      <c r="C15" s="7">
        <v>14</v>
      </c>
      <c r="D15" s="7" t="s">
        <v>63</v>
      </c>
      <c r="E15" s="7" t="s">
        <v>64</v>
      </c>
      <c r="G15" s="8"/>
      <c r="H15" s="7"/>
      <c r="I15" s="7"/>
      <c r="J15" s="7"/>
    </row>
    <row r="16" spans="1:10" s="7" customFormat="1" x14ac:dyDescent="0.25">
      <c r="A16" s="7">
        <v>1</v>
      </c>
      <c r="B16" s="7" t="s">
        <v>65</v>
      </c>
      <c r="C16" s="7">
        <v>15</v>
      </c>
      <c r="D16" s="7" t="s">
        <v>66</v>
      </c>
      <c r="E16" s="7" t="s">
        <v>67</v>
      </c>
      <c r="G16" s="8"/>
      <c r="H16" s="7"/>
      <c r="I16" s="7"/>
      <c r="J16" s="7"/>
    </row>
    <row r="17" spans="1:10" s="7" customFormat="1" x14ac:dyDescent="0.25">
      <c r="A17" s="7">
        <v>1</v>
      </c>
      <c r="B17" s="7" t="s">
        <v>65</v>
      </c>
      <c r="C17" s="7">
        <v>16</v>
      </c>
      <c r="D17" s="7" t="s">
        <v>68</v>
      </c>
      <c r="E17" s="7" t="s">
        <v>69</v>
      </c>
      <c r="G17" s="8"/>
      <c r="H17" s="7"/>
      <c r="I17" s="7"/>
      <c r="J17" s="7"/>
    </row>
    <row r="18" spans="1:10" s="7" customFormat="1" x14ac:dyDescent="0.25">
      <c r="A18" s="7">
        <v>1</v>
      </c>
      <c r="B18" s="7" t="s">
        <v>65</v>
      </c>
      <c r="C18" s="7">
        <v>17</v>
      </c>
      <c r="D18" s="7" t="s">
        <v>70</v>
      </c>
      <c r="E18" s="7" t="s">
        <v>71</v>
      </c>
      <c r="G18" s="8"/>
      <c r="H18" s="7"/>
      <c r="I18" s="7"/>
      <c r="J18" s="7"/>
    </row>
    <row r="19" spans="1:10" s="7" customFormat="1" x14ac:dyDescent="0.25">
      <c r="A19" s="7">
        <v>1</v>
      </c>
      <c r="B19" s="7" t="s">
        <v>65</v>
      </c>
      <c r="C19" s="7">
        <v>18</v>
      </c>
      <c r="D19" s="7" t="s">
        <v>72</v>
      </c>
      <c r="E19" s="7" t="s">
        <v>73</v>
      </c>
      <c r="G19" s="8"/>
      <c r="H19" s="7"/>
      <c r="I19" s="7"/>
      <c r="J19" s="7"/>
    </row>
    <row r="20" spans="1:10" s="7" customFormat="1" x14ac:dyDescent="0.25">
      <c r="A20" s="7">
        <v>1</v>
      </c>
      <c r="B20" s="7" t="s">
        <v>65</v>
      </c>
      <c r="C20" s="7">
        <v>19</v>
      </c>
      <c r="D20" s="7" t="s">
        <v>74</v>
      </c>
      <c r="E20" s="7" t="s">
        <v>75</v>
      </c>
      <c r="G20" s="8"/>
      <c r="H20" s="7"/>
      <c r="I20" s="7"/>
      <c r="J20" s="7"/>
    </row>
    <row r="21" spans="1:10" s="7" customFormat="1" x14ac:dyDescent="0.25">
      <c r="A21" s="7">
        <v>1</v>
      </c>
      <c r="B21" s="7" t="s">
        <v>65</v>
      </c>
      <c r="C21" s="7">
        <v>20</v>
      </c>
      <c r="D21" s="7" t="s">
        <v>76</v>
      </c>
      <c r="E21" s="7" t="s">
        <v>77</v>
      </c>
      <c r="G21" s="8"/>
      <c r="H21" s="7"/>
      <c r="I21" s="7"/>
      <c r="J21" s="7"/>
    </row>
    <row r="22" spans="1:10" s="7" customFormat="1" x14ac:dyDescent="0.25">
      <c r="A22" s="7">
        <v>1</v>
      </c>
      <c r="B22" s="7" t="s">
        <v>65</v>
      </c>
      <c r="C22" s="7">
        <v>21</v>
      </c>
      <c r="D22" s="7" t="s">
        <v>78</v>
      </c>
      <c r="E22" s="7" t="s">
        <v>79</v>
      </c>
      <c r="G22" s="8"/>
      <c r="H22" s="7"/>
      <c r="I22" s="7"/>
      <c r="J22" s="7"/>
    </row>
    <row r="23" spans="1:10" s="7" customFormat="1" x14ac:dyDescent="0.25">
      <c r="A23" s="7">
        <v>1</v>
      </c>
      <c r="B23" s="7" t="s">
        <v>80</v>
      </c>
      <c r="C23" s="7">
        <v>22</v>
      </c>
      <c r="D23" s="7" t="s">
        <v>81</v>
      </c>
      <c r="E23" s="7" t="s">
        <v>82</v>
      </c>
      <c r="G23" s="8"/>
      <c r="H23" s="7"/>
      <c r="I23" s="7"/>
      <c r="J23" s="7"/>
    </row>
    <row r="24" spans="1:10" s="7" customFormat="1" x14ac:dyDescent="0.25">
      <c r="A24" s="7">
        <v>1</v>
      </c>
      <c r="B24" s="7" t="s">
        <v>80</v>
      </c>
      <c r="C24" s="7">
        <v>23</v>
      </c>
      <c r="D24" s="7" t="s">
        <v>83</v>
      </c>
      <c r="E24" s="7" t="s">
        <v>84</v>
      </c>
      <c r="G24" s="8"/>
      <c r="H24" s="7"/>
      <c r="I24" s="7"/>
      <c r="J24" s="7"/>
    </row>
    <row r="25" spans="1:10" s="7" customFormat="1" x14ac:dyDescent="0.25">
      <c r="A25" s="7">
        <v>1</v>
      </c>
      <c r="B25" s="7" t="s">
        <v>80</v>
      </c>
      <c r="C25" s="7">
        <v>24</v>
      </c>
      <c r="D25" s="7" t="s">
        <v>85</v>
      </c>
      <c r="E25" s="7" t="s">
        <v>86</v>
      </c>
      <c r="G25" s="8"/>
      <c r="H25" s="7"/>
      <c r="I25" s="7"/>
      <c r="J25" s="7"/>
    </row>
    <row r="26" spans="1:10" s="7" customFormat="1" x14ac:dyDescent="0.25">
      <c r="A26" s="7">
        <v>1</v>
      </c>
      <c r="B26" s="7" t="s">
        <v>80</v>
      </c>
      <c r="C26" s="7">
        <v>25</v>
      </c>
      <c r="D26" s="7" t="s">
        <v>87</v>
      </c>
      <c r="E26" s="7" t="s">
        <v>88</v>
      </c>
      <c r="G26" s="8"/>
      <c r="H26" s="7"/>
      <c r="I26" s="7"/>
      <c r="J26" s="7"/>
    </row>
    <row r="27" spans="1:10" s="7" customFormat="1" x14ac:dyDescent="0.25">
      <c r="A27" s="7">
        <v>1</v>
      </c>
      <c r="B27" s="7" t="s">
        <v>80</v>
      </c>
      <c r="C27" s="7">
        <v>26</v>
      </c>
      <c r="D27" s="7" t="s">
        <v>89</v>
      </c>
      <c r="E27" s="7" t="s">
        <v>90</v>
      </c>
      <c r="G27" s="8"/>
      <c r="H27" s="7"/>
      <c r="I27" s="7"/>
      <c r="J27" s="7"/>
    </row>
    <row r="28" spans="1:10" s="7" customFormat="1" x14ac:dyDescent="0.25">
      <c r="A28" s="7">
        <v>1</v>
      </c>
      <c r="B28" s="7" t="s">
        <v>80</v>
      </c>
      <c r="C28" s="7">
        <v>27</v>
      </c>
      <c r="D28" s="7" t="s">
        <v>91</v>
      </c>
      <c r="E28" s="7" t="s">
        <v>92</v>
      </c>
      <c r="G28" s="8"/>
      <c r="H28" s="7"/>
      <c r="I28" s="7"/>
      <c r="J28" s="7"/>
    </row>
    <row r="29" spans="1:10" s="7" customFormat="1" x14ac:dyDescent="0.25">
      <c r="A29" s="7">
        <v>1</v>
      </c>
      <c r="B29" s="7" t="s">
        <v>80</v>
      </c>
      <c r="C29" s="7">
        <v>28</v>
      </c>
      <c r="D29" s="7" t="s">
        <v>93</v>
      </c>
      <c r="E29" s="7" t="s">
        <v>94</v>
      </c>
      <c r="G29" s="8"/>
      <c r="H29" s="7"/>
      <c r="I29" s="7"/>
      <c r="J29" s="7"/>
    </row>
    <row r="30" spans="1:10" s="7" customFormat="1" x14ac:dyDescent="0.25">
      <c r="A30" s="7">
        <v>1</v>
      </c>
      <c r="B30" s="7" t="s">
        <v>80</v>
      </c>
      <c r="C30" s="7">
        <v>29</v>
      </c>
      <c r="D30" s="7" t="s">
        <v>95</v>
      </c>
      <c r="E30" s="7" t="s">
        <v>96</v>
      </c>
      <c r="G30" s="8"/>
      <c r="H30" s="7"/>
      <c r="I30" s="7"/>
      <c r="J30" s="7"/>
    </row>
    <row r="31" spans="1:10" s="7" customFormat="1" x14ac:dyDescent="0.25">
      <c r="A31" s="7">
        <v>1</v>
      </c>
      <c r="B31" s="7" t="s">
        <v>80</v>
      </c>
      <c r="C31" s="7">
        <v>30</v>
      </c>
      <c r="D31" s="7" t="s">
        <v>97</v>
      </c>
      <c r="E31" s="7" t="s">
        <v>98</v>
      </c>
      <c r="G31" s="8"/>
      <c r="H31" s="7"/>
      <c r="I31" s="7"/>
      <c r="J31" s="7"/>
    </row>
    <row r="32" spans="1:10" s="7" customFormat="1" x14ac:dyDescent="0.25">
      <c r="A32" s="7">
        <v>1</v>
      </c>
      <c r="B32" s="7" t="s">
        <v>80</v>
      </c>
      <c r="C32" s="7">
        <v>31</v>
      </c>
      <c r="D32" s="7" t="s">
        <v>99</v>
      </c>
      <c r="E32" s="7" t="s">
        <v>100</v>
      </c>
      <c r="G32" s="8"/>
      <c r="H32" s="7"/>
      <c r="I32" s="7"/>
      <c r="J32" s="7"/>
    </row>
    <row r="33" spans="1:10" s="7" customFormat="1" x14ac:dyDescent="0.25">
      <c r="A33" s="7">
        <v>1</v>
      </c>
      <c r="B33" s="7" t="s">
        <v>101</v>
      </c>
      <c r="C33" s="7">
        <v>32</v>
      </c>
      <c r="D33" s="7" t="s">
        <v>102</v>
      </c>
      <c r="E33" s="7" t="s">
        <v>103</v>
      </c>
      <c r="G33" s="8"/>
      <c r="H33" s="7"/>
      <c r="I33" s="7"/>
      <c r="J33" s="7"/>
    </row>
    <row r="34" spans="1:10" s="7" customFormat="1" x14ac:dyDescent="0.25">
      <c r="A34" s="7">
        <v>1</v>
      </c>
      <c r="B34" s="7" t="s">
        <v>101</v>
      </c>
      <c r="C34" s="7">
        <v>33</v>
      </c>
      <c r="D34" s="7" t="s">
        <v>104</v>
      </c>
      <c r="E34" s="7" t="s">
        <v>105</v>
      </c>
      <c r="G34" s="8"/>
      <c r="H34" s="7"/>
      <c r="I34" s="7"/>
      <c r="J34" s="7"/>
    </row>
    <row r="35" spans="1:10" s="7" customFormat="1" x14ac:dyDescent="0.25">
      <c r="A35" s="7">
        <v>1</v>
      </c>
      <c r="B35" s="7" t="s">
        <v>101</v>
      </c>
      <c r="C35" s="7">
        <v>34</v>
      </c>
      <c r="D35" s="7" t="s">
        <v>106</v>
      </c>
      <c r="E35" s="7" t="s">
        <v>107</v>
      </c>
      <c r="G35" s="8"/>
      <c r="H35" s="7"/>
      <c r="I35" s="7"/>
      <c r="J35" s="7"/>
    </row>
    <row r="36" spans="1:10" s="7" customFormat="1" x14ac:dyDescent="0.25">
      <c r="A36" s="7">
        <v>1</v>
      </c>
      <c r="B36" s="7" t="s">
        <v>108</v>
      </c>
      <c r="C36" s="7">
        <v>35</v>
      </c>
      <c r="D36" s="7" t="s">
        <v>109</v>
      </c>
      <c r="E36" s="7" t="s">
        <v>1</v>
      </c>
      <c r="G36" s="8"/>
      <c r="H36" s="7"/>
      <c r="I36" s="7"/>
      <c r="J36" s="7"/>
    </row>
    <row r="37" spans="1:10" s="7" customFormat="1" x14ac:dyDescent="0.25">
      <c r="A37" s="7">
        <v>1</v>
      </c>
      <c r="B37" s="7" t="s">
        <v>108</v>
      </c>
      <c r="C37" s="7">
        <v>36</v>
      </c>
      <c r="D37" s="7" t="s">
        <v>110</v>
      </c>
      <c r="E37" s="7" t="s">
        <v>1</v>
      </c>
      <c r="G37" s="8"/>
      <c r="H37" s="7"/>
      <c r="I37" s="7"/>
      <c r="J37" s="7"/>
    </row>
    <row r="38" spans="1:10" s="7" customFormat="1" x14ac:dyDescent="0.25">
      <c r="A38" s="7">
        <v>1</v>
      </c>
      <c r="B38" s="7" t="s">
        <v>108</v>
      </c>
      <c r="C38" s="7">
        <v>37</v>
      </c>
      <c r="D38" s="7" t="s">
        <v>111</v>
      </c>
      <c r="E38" s="7" t="s">
        <v>1</v>
      </c>
      <c r="G38" s="8"/>
      <c r="H38" s="7"/>
      <c r="I38" s="7"/>
      <c r="J38" s="7"/>
    </row>
    <row r="39" spans="1:10" s="7" customFormat="1" x14ac:dyDescent="0.25">
      <c r="A39" s="7">
        <v>1</v>
      </c>
      <c r="B39" s="7" t="s">
        <v>108</v>
      </c>
      <c r="C39" s="7">
        <v>38</v>
      </c>
      <c r="D39" s="7" t="s">
        <v>112</v>
      </c>
      <c r="E39" s="7" t="s">
        <v>1</v>
      </c>
      <c r="G39" s="8"/>
      <c r="H39" s="7"/>
      <c r="I39" s="7"/>
      <c r="J39" s="7"/>
    </row>
    <row r="40" spans="1:10" s="7" customFormat="1" x14ac:dyDescent="0.25">
      <c r="A40" s="9">
        <v>2</v>
      </c>
      <c r="B40" s="7" t="s">
        <v>113</v>
      </c>
      <c r="C40" s="7">
        <v>1</v>
      </c>
      <c r="D40" s="7" t="s">
        <v>114</v>
      </c>
      <c r="E40" s="7" t="s">
        <v>115</v>
      </c>
      <c r="G40" s="8"/>
      <c r="H40" s="7"/>
      <c r="I40" s="7"/>
      <c r="J40" s="7"/>
    </row>
    <row r="41" spans="1:10" s="7" customFormat="1" x14ac:dyDescent="0.25">
      <c r="A41" s="9">
        <v>2</v>
      </c>
      <c r="B41" s="7" t="s">
        <v>113</v>
      </c>
      <c r="C41" s="7">
        <v>2</v>
      </c>
      <c r="D41" s="7" t="s">
        <v>116</v>
      </c>
      <c r="E41" s="7" t="s">
        <v>117</v>
      </c>
      <c r="G41" s="8"/>
      <c r="H41" s="7"/>
      <c r="I41" s="7"/>
      <c r="J41" s="7"/>
    </row>
    <row r="42" spans="1:10" s="7" customFormat="1" x14ac:dyDescent="0.25">
      <c r="A42" s="9">
        <v>2</v>
      </c>
      <c r="B42" s="7" t="s">
        <v>113</v>
      </c>
      <c r="C42" s="7">
        <v>3</v>
      </c>
      <c r="D42" s="7" t="s">
        <v>118</v>
      </c>
      <c r="E42" s="7" t="s">
        <v>119</v>
      </c>
      <c r="G42" s="8"/>
      <c r="H42" s="7"/>
      <c r="I42" s="7"/>
      <c r="J42" s="7"/>
    </row>
    <row r="43" spans="1:10" s="7" customFormat="1" x14ac:dyDescent="0.25">
      <c r="A43" s="9">
        <v>2</v>
      </c>
      <c r="B43" s="7" t="s">
        <v>113</v>
      </c>
      <c r="C43" s="7">
        <v>4</v>
      </c>
      <c r="D43" s="7" t="s">
        <v>120</v>
      </c>
      <c r="E43" s="7" t="s">
        <v>121</v>
      </c>
      <c r="G43" s="8"/>
      <c r="H43" s="7"/>
      <c r="I43" s="7"/>
      <c r="J43" s="7"/>
    </row>
    <row r="44" spans="1:10" s="7" customFormat="1" x14ac:dyDescent="0.25">
      <c r="A44" s="9">
        <v>2</v>
      </c>
      <c r="B44" s="7" t="s">
        <v>113</v>
      </c>
      <c r="C44" s="7">
        <v>5</v>
      </c>
      <c r="D44" s="7" t="s">
        <v>122</v>
      </c>
      <c r="E44" s="7" t="s">
        <v>123</v>
      </c>
      <c r="G44" s="8"/>
      <c r="H44" s="7"/>
      <c r="I44" s="7"/>
      <c r="J44" s="7"/>
    </row>
    <row r="45" spans="1:10" s="7" customFormat="1" x14ac:dyDescent="0.25">
      <c r="A45" s="9">
        <v>2</v>
      </c>
      <c r="B45" s="7" t="s">
        <v>113</v>
      </c>
      <c r="C45" s="7">
        <v>6</v>
      </c>
      <c r="D45" s="7" t="s">
        <v>124</v>
      </c>
      <c r="E45" s="7" t="s">
        <v>125</v>
      </c>
      <c r="G45" s="8"/>
      <c r="H45" s="7"/>
      <c r="I45" s="7"/>
      <c r="J45" s="7"/>
    </row>
    <row r="46" spans="1:10" s="7" customFormat="1" x14ac:dyDescent="0.25">
      <c r="A46" s="9">
        <v>2</v>
      </c>
      <c r="B46" s="7" t="s">
        <v>113</v>
      </c>
      <c r="C46" s="7">
        <v>7</v>
      </c>
      <c r="D46" s="7" t="s">
        <v>126</v>
      </c>
      <c r="E46" s="7" t="s">
        <v>127</v>
      </c>
      <c r="G46" s="8"/>
      <c r="H46" s="7"/>
      <c r="I46" s="7"/>
      <c r="J46" s="7"/>
    </row>
    <row r="47" spans="1:10" s="7" customFormat="1" x14ac:dyDescent="0.25">
      <c r="A47" s="9">
        <v>2</v>
      </c>
      <c r="B47" s="7" t="s">
        <v>113</v>
      </c>
      <c r="C47" s="7">
        <v>8</v>
      </c>
      <c r="D47" s="7" t="s">
        <v>128</v>
      </c>
      <c r="E47" s="7" t="s">
        <v>129</v>
      </c>
      <c r="G47" s="8"/>
      <c r="H47" s="7"/>
      <c r="I47" s="7"/>
      <c r="J47" s="7"/>
    </row>
    <row r="48" spans="1:10" s="7" customFormat="1" x14ac:dyDescent="0.25">
      <c r="A48" s="9">
        <v>2</v>
      </c>
      <c r="B48" s="7" t="s">
        <v>113</v>
      </c>
      <c r="C48" s="7">
        <v>9</v>
      </c>
      <c r="D48" s="7" t="s">
        <v>130</v>
      </c>
      <c r="E48" s="7" t="s">
        <v>131</v>
      </c>
      <c r="G48" s="8"/>
      <c r="H48" s="7"/>
      <c r="I48" s="7"/>
      <c r="J48" s="7"/>
    </row>
    <row r="49" spans="1:10" s="7" customFormat="1" x14ac:dyDescent="0.25">
      <c r="A49" s="9">
        <v>2</v>
      </c>
      <c r="B49" s="7" t="s">
        <v>113</v>
      </c>
      <c r="C49" s="7">
        <v>10</v>
      </c>
      <c r="D49" s="7" t="s">
        <v>132</v>
      </c>
      <c r="E49" s="7" t="s">
        <v>133</v>
      </c>
      <c r="G49" s="8"/>
      <c r="H49" s="7"/>
      <c r="I49" s="7"/>
      <c r="J49" s="7"/>
    </row>
    <row r="50" spans="1:10" s="7" customFormat="1" x14ac:dyDescent="0.25">
      <c r="A50" s="9">
        <v>2</v>
      </c>
      <c r="B50" s="7" t="s">
        <v>113</v>
      </c>
      <c r="C50" s="7">
        <v>11</v>
      </c>
      <c r="D50" s="7" t="s">
        <v>134</v>
      </c>
      <c r="E50" s="7" t="s">
        <v>133</v>
      </c>
      <c r="G50" s="8"/>
      <c r="H50" s="7"/>
      <c r="I50" s="7"/>
      <c r="J50" s="7"/>
    </row>
    <row r="51" spans="1:10" s="7" customFormat="1" x14ac:dyDescent="0.25">
      <c r="A51" s="9">
        <v>2</v>
      </c>
      <c r="B51" s="7" t="s">
        <v>113</v>
      </c>
      <c r="C51" s="7">
        <v>12</v>
      </c>
      <c r="D51" s="7" t="s">
        <v>135</v>
      </c>
      <c r="E51" s="7" t="s">
        <v>136</v>
      </c>
      <c r="G51" s="8"/>
      <c r="H51" s="7"/>
      <c r="I51" s="7"/>
      <c r="J51" s="7"/>
    </row>
  </sheetData>
  <autoFilter ref="A1:L51"/>
  <conditionalFormatting sqref="J2:J51">
    <cfRule type="containsText" dxfId="0" priority="1">
      <formula>NOT(ISERROR(SEARCH("Pass",J2)))</formula>
    </cfRule>
    <cfRule type="containsText" dxfId="1" priority="2">
      <formula>NOT(ISERROR(SEARCH("Fail",J2)))</formula>
    </cfRule>
    <cfRule type="containsText" dxfId="2" priority="3">
      <formula>NOT(ISERROR(SEARCH("Blocked",J2)))</formula>
    </cfRule>
  </conditionalFormatting>
  <dataValidations count="6">
    <dataValidation type="list" allowBlank="1" sqref="H10:H51">
      <formula1>"Android phone,iPhone,Computer,Tablet"</formula1>
    </dataValidation>
    <dataValidation type="list" allowBlank="1" sqref="H2:H51">
      <formula1>"Android phone,iPhone,Computer,Tablet"</formula1>
    </dataValidation>
    <dataValidation type="list" allowBlank="1" sqref="I10:I51">
      <formula1>"ka,en,ru"</formula1>
    </dataValidation>
    <dataValidation type="list" allowBlank="1" sqref="I2:I51">
      <formula1>"ka,en,ru"</formula1>
    </dataValidation>
    <dataValidation type="list" allowBlank="1" sqref="J10:J51">
      <formula1>"Pass,Fail,Blocked,Not tested"</formula1>
    </dataValidation>
    <dataValidation type="list" allowBlank="1" sqref="J2:J51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14" customWidth="1"/>
    <col min="5" max="5" width="18" customWidth="1"/>
    <col min="6" max="6" width="10" customWidth="1"/>
    <col min="7" max="7" width="34" customWidth="1"/>
    <col min="8" max="8" width="36" customWidth="1"/>
    <col min="9" max="9" width="30" customWidth="1"/>
    <col min="10" max="10" width="36" customWidth="1"/>
    <col min="11" max="11" width="22" customWidth="1"/>
    <col min="13" max="13" width="12" customWidth="1"/>
    <col min="14" max="14" width="36" customWidth="1"/>
  </cols>
  <sheetData>
    <row r="1" ht="30" customHeight="1" spans="1:14" s="6" customFormat="1" x14ac:dyDescent="0.25">
      <c r="A1" s="6" t="s">
        <v>33</v>
      </c>
      <c r="B1" s="6" t="s">
        <v>29</v>
      </c>
      <c r="C1" s="6" t="s">
        <v>137</v>
      </c>
      <c r="D1" s="6" t="s">
        <v>138</v>
      </c>
      <c r="E1" s="6" t="s">
        <v>139</v>
      </c>
      <c r="F1" s="6" t="s">
        <v>31</v>
      </c>
      <c r="G1" s="6" t="s">
        <v>140</v>
      </c>
      <c r="H1" s="6" t="s">
        <v>141</v>
      </c>
      <c r="I1" s="6" t="s">
        <v>142</v>
      </c>
      <c r="J1" s="6" t="s">
        <v>143</v>
      </c>
      <c r="K1" s="6" t="s">
        <v>144</v>
      </c>
      <c r="L1" s="6" t="s">
        <v>4</v>
      </c>
      <c r="M1" s="6" t="s">
        <v>145</v>
      </c>
      <c r="N1" s="6" t="s">
        <v>146</v>
      </c>
    </row>
    <row r="2" spans="1:13" s="7" customFormat="1" x14ac:dyDescent="0.25">
      <c r="A2" s="7" t="s">
        <v>147</v>
      </c>
      <c r="B2" s="8"/>
      <c r="D2" s="7"/>
      <c r="F2" s="7"/>
      <c r="L2" s="7"/>
      <c r="M2" s="7"/>
    </row>
    <row r="3" spans="1:13" s="7" customFormat="1" x14ac:dyDescent="0.25">
      <c r="A3" s="7" t="s">
        <v>148</v>
      </c>
      <c r="B3" s="8"/>
      <c r="D3" s="7"/>
      <c r="F3" s="7"/>
      <c r="L3" s="7"/>
      <c r="M3" s="7"/>
    </row>
    <row r="4" spans="1:13" s="7" customFormat="1" x14ac:dyDescent="0.25">
      <c r="A4" s="7" t="s">
        <v>149</v>
      </c>
      <c r="B4" s="8"/>
      <c r="D4" s="7"/>
      <c r="F4" s="7"/>
      <c r="L4" s="7"/>
      <c r="M4" s="7"/>
    </row>
    <row r="5" spans="1:13" s="7" customFormat="1" x14ac:dyDescent="0.25">
      <c r="A5" s="7" t="s">
        <v>150</v>
      </c>
      <c r="B5" s="8"/>
      <c r="D5" s="7"/>
      <c r="F5" s="7"/>
      <c r="L5" s="7"/>
      <c r="M5" s="7"/>
    </row>
    <row r="6" spans="1:13" s="7" customFormat="1" x14ac:dyDescent="0.25">
      <c r="A6" s="7" t="s">
        <v>151</v>
      </c>
      <c r="B6" s="8"/>
      <c r="D6" s="7"/>
      <c r="F6" s="7"/>
      <c r="L6" s="7"/>
      <c r="M6" s="7"/>
    </row>
    <row r="7" spans="1:13" s="7" customFormat="1" x14ac:dyDescent="0.25">
      <c r="A7" s="7" t="s">
        <v>152</v>
      </c>
      <c r="B7" s="8"/>
      <c r="D7" s="7"/>
      <c r="F7" s="7"/>
      <c r="L7" s="7"/>
      <c r="M7" s="7"/>
    </row>
    <row r="8" spans="1:13" s="7" customFormat="1" x14ac:dyDescent="0.25">
      <c r="A8" s="7" t="s">
        <v>153</v>
      </c>
      <c r="B8" s="8"/>
      <c r="D8" s="7"/>
      <c r="F8" s="7"/>
      <c r="L8" s="7"/>
      <c r="M8" s="7"/>
    </row>
    <row r="9" spans="1:13" s="7" customFormat="1" x14ac:dyDescent="0.25">
      <c r="A9" s="7" t="s">
        <v>154</v>
      </c>
      <c r="B9" s="8"/>
      <c r="D9" s="7"/>
      <c r="F9" s="7"/>
      <c r="L9" s="7"/>
      <c r="M9" s="7"/>
    </row>
    <row r="10" spans="1:13" s="7" customFormat="1" x14ac:dyDescent="0.25">
      <c r="A10" s="7" t="s">
        <v>155</v>
      </c>
      <c r="B10" s="8"/>
      <c r="D10" s="7"/>
      <c r="F10" s="7"/>
      <c r="L10" s="7"/>
      <c r="M10" s="7"/>
    </row>
    <row r="11" spans="1:13" s="7" customFormat="1" x14ac:dyDescent="0.25">
      <c r="A11" s="7" t="s">
        <v>156</v>
      </c>
      <c r="B11" s="8"/>
      <c r="D11" s="7"/>
      <c r="F11" s="7"/>
      <c r="L11" s="7"/>
      <c r="M11" s="7"/>
    </row>
    <row r="12" spans="1:13" s="7" customFormat="1" x14ac:dyDescent="0.25">
      <c r="A12" s="7" t="s">
        <v>157</v>
      </c>
      <c r="B12" s="8"/>
      <c r="D12" s="7"/>
      <c r="F12" s="7"/>
      <c r="L12" s="7"/>
      <c r="M12" s="7"/>
    </row>
    <row r="13" spans="1:13" s="7" customFormat="1" x14ac:dyDescent="0.25">
      <c r="A13" s="7" t="s">
        <v>158</v>
      </c>
      <c r="B13" s="8"/>
      <c r="D13" s="7"/>
      <c r="F13" s="7"/>
      <c r="L13" s="7"/>
      <c r="M13" s="7"/>
    </row>
    <row r="14" spans="1:13" s="7" customFormat="1" x14ac:dyDescent="0.25">
      <c r="A14" s="7" t="s">
        <v>159</v>
      </c>
      <c r="B14" s="8"/>
      <c r="D14" s="7"/>
      <c r="F14" s="7"/>
      <c r="L14" s="7"/>
      <c r="M14" s="7"/>
    </row>
    <row r="15" spans="1:13" s="7" customFormat="1" x14ac:dyDescent="0.25">
      <c r="A15" s="7" t="s">
        <v>160</v>
      </c>
      <c r="B15" s="8"/>
      <c r="D15" s="7"/>
      <c r="F15" s="7"/>
      <c r="L15" s="7"/>
      <c r="M15" s="7"/>
    </row>
    <row r="16" spans="1:13" s="7" customFormat="1" x14ac:dyDescent="0.25">
      <c r="A16" s="7" t="s">
        <v>161</v>
      </c>
      <c r="B16" s="8"/>
      <c r="D16" s="7"/>
      <c r="F16" s="7"/>
      <c r="L16" s="7"/>
      <c r="M16" s="7"/>
    </row>
    <row r="17" spans="1:13" s="7" customFormat="1" x14ac:dyDescent="0.25">
      <c r="A17" s="7" t="s">
        <v>162</v>
      </c>
      <c r="B17" s="8"/>
      <c r="D17" s="7"/>
      <c r="F17" s="7"/>
      <c r="L17" s="7"/>
      <c r="M17" s="7"/>
    </row>
    <row r="18" spans="1:13" s="7" customFormat="1" x14ac:dyDescent="0.25">
      <c r="A18" s="7" t="s">
        <v>163</v>
      </c>
      <c r="B18" s="8"/>
      <c r="D18" s="7"/>
      <c r="F18" s="7"/>
      <c r="L18" s="7"/>
      <c r="M18" s="7"/>
    </row>
    <row r="19" spans="1:13" s="7" customFormat="1" x14ac:dyDescent="0.25">
      <c r="A19" s="7" t="s">
        <v>164</v>
      </c>
      <c r="B19" s="8"/>
      <c r="D19" s="7"/>
      <c r="F19" s="7"/>
      <c r="L19" s="7"/>
      <c r="M19" s="7"/>
    </row>
    <row r="20" spans="1:13" s="7" customFormat="1" x14ac:dyDescent="0.25">
      <c r="A20" s="7" t="s">
        <v>165</v>
      </c>
      <c r="B20" s="8"/>
      <c r="D20" s="7"/>
      <c r="F20" s="7"/>
      <c r="L20" s="7"/>
      <c r="M20" s="7"/>
    </row>
    <row r="21" spans="1:13" s="7" customFormat="1" x14ac:dyDescent="0.25">
      <c r="A21" s="7" t="s">
        <v>166</v>
      </c>
      <c r="B21" s="8"/>
      <c r="D21" s="7"/>
      <c r="F21" s="7"/>
      <c r="L21" s="7"/>
      <c r="M21" s="7"/>
    </row>
    <row r="22" spans="1:13" s="7" customFormat="1" x14ac:dyDescent="0.25">
      <c r="A22" s="7" t="s">
        <v>167</v>
      </c>
      <c r="B22" s="8"/>
      <c r="D22" s="7"/>
      <c r="F22" s="7"/>
      <c r="L22" s="7"/>
      <c r="M22" s="7"/>
    </row>
    <row r="23" spans="1:13" s="7" customFormat="1" x14ac:dyDescent="0.25">
      <c r="A23" s="7" t="s">
        <v>168</v>
      </c>
      <c r="B23" s="8"/>
      <c r="D23" s="7"/>
      <c r="F23" s="7"/>
      <c r="L23" s="7"/>
      <c r="M23" s="7"/>
    </row>
    <row r="24" spans="1:13" s="7" customFormat="1" x14ac:dyDescent="0.25">
      <c r="A24" s="7" t="s">
        <v>169</v>
      </c>
      <c r="B24" s="8"/>
      <c r="D24" s="7"/>
      <c r="F24" s="7"/>
      <c r="L24" s="7"/>
      <c r="M24" s="7"/>
    </row>
    <row r="25" spans="1:13" s="7" customFormat="1" x14ac:dyDescent="0.25">
      <c r="A25" s="7" t="s">
        <v>170</v>
      </c>
      <c r="B25" s="8"/>
      <c r="D25" s="7"/>
      <c r="F25" s="7"/>
      <c r="L25" s="7"/>
      <c r="M25" s="7"/>
    </row>
    <row r="26" spans="1:13" s="7" customFormat="1" x14ac:dyDescent="0.25">
      <c r="A26" s="7" t="s">
        <v>171</v>
      </c>
      <c r="B26" s="8"/>
      <c r="D26" s="7"/>
      <c r="F26" s="7"/>
      <c r="L26" s="7"/>
      <c r="M26" s="7"/>
    </row>
    <row r="27" spans="1:13" s="7" customFormat="1" x14ac:dyDescent="0.25">
      <c r="A27" s="7" t="s">
        <v>172</v>
      </c>
      <c r="B27" s="8"/>
      <c r="D27" s="7"/>
      <c r="F27" s="7"/>
      <c r="L27" s="7"/>
      <c r="M27" s="7"/>
    </row>
    <row r="28" spans="1:13" s="7" customFormat="1" x14ac:dyDescent="0.25">
      <c r="A28" s="7" t="s">
        <v>173</v>
      </c>
      <c r="B28" s="8"/>
      <c r="D28" s="7"/>
      <c r="F28" s="7"/>
      <c r="L28" s="7"/>
      <c r="M28" s="7"/>
    </row>
    <row r="29" spans="1:13" s="7" customFormat="1" x14ac:dyDescent="0.25">
      <c r="A29" s="7" t="s">
        <v>174</v>
      </c>
      <c r="B29" s="8"/>
      <c r="D29" s="7"/>
      <c r="F29" s="7"/>
      <c r="L29" s="7"/>
      <c r="M29" s="7"/>
    </row>
    <row r="30" spans="1:13" s="7" customFormat="1" x14ac:dyDescent="0.25">
      <c r="A30" s="7" t="s">
        <v>175</v>
      </c>
      <c r="B30" s="8"/>
      <c r="D30" s="7"/>
      <c r="F30" s="7"/>
      <c r="L30" s="7"/>
      <c r="M30" s="7"/>
    </row>
    <row r="31" spans="1:13" s="7" customFormat="1" x14ac:dyDescent="0.25">
      <c r="A31" s="7" t="s">
        <v>176</v>
      </c>
      <c r="B31" s="8"/>
      <c r="D31" s="7"/>
      <c r="F31" s="7"/>
      <c r="L31" s="7"/>
      <c r="M31" s="7"/>
    </row>
    <row r="32" spans="1:13" s="7" customFormat="1" x14ac:dyDescent="0.25">
      <c r="A32" s="7" t="s">
        <v>177</v>
      </c>
      <c r="B32" s="8"/>
      <c r="D32" s="7"/>
      <c r="F32" s="7"/>
      <c r="L32" s="7"/>
      <c r="M32" s="7"/>
    </row>
    <row r="33" spans="1:13" s="7" customFormat="1" x14ac:dyDescent="0.25">
      <c r="A33" s="7" t="s">
        <v>178</v>
      </c>
      <c r="B33" s="8"/>
      <c r="D33" s="7"/>
      <c r="F33" s="7"/>
      <c r="L33" s="7"/>
      <c r="M33" s="7"/>
    </row>
    <row r="34" spans="1:13" s="7" customFormat="1" x14ac:dyDescent="0.25">
      <c r="A34" s="7" t="s">
        <v>179</v>
      </c>
      <c r="B34" s="8"/>
      <c r="D34" s="7"/>
      <c r="F34" s="7"/>
      <c r="L34" s="7"/>
      <c r="M34" s="7"/>
    </row>
    <row r="35" spans="1:13" s="7" customFormat="1" x14ac:dyDescent="0.25">
      <c r="A35" s="7" t="s">
        <v>180</v>
      </c>
      <c r="B35" s="8"/>
      <c r="D35" s="7"/>
      <c r="F35" s="7"/>
      <c r="L35" s="7"/>
      <c r="M35" s="7"/>
    </row>
    <row r="36" spans="1:13" s="7" customFormat="1" x14ac:dyDescent="0.25">
      <c r="A36" s="7" t="s">
        <v>181</v>
      </c>
      <c r="B36" s="8"/>
      <c r="D36" s="7"/>
      <c r="F36" s="7"/>
      <c r="L36" s="7"/>
      <c r="M36" s="7"/>
    </row>
    <row r="37" spans="1:13" s="7" customFormat="1" x14ac:dyDescent="0.25">
      <c r="A37" s="7" t="s">
        <v>182</v>
      </c>
      <c r="B37" s="8"/>
      <c r="D37" s="7"/>
      <c r="F37" s="7"/>
      <c r="L37" s="7"/>
      <c r="M37" s="7"/>
    </row>
    <row r="38" spans="1:13" s="7" customFormat="1" x14ac:dyDescent="0.25">
      <c r="A38" s="7" t="s">
        <v>183</v>
      </c>
      <c r="B38" s="8"/>
      <c r="D38" s="7"/>
      <c r="F38" s="7"/>
      <c r="L38" s="7"/>
      <c r="M38" s="7"/>
    </row>
    <row r="39" spans="1:13" s="7" customFormat="1" x14ac:dyDescent="0.25">
      <c r="A39" s="7" t="s">
        <v>184</v>
      </c>
      <c r="B39" s="8"/>
      <c r="D39" s="7"/>
      <c r="F39" s="7"/>
      <c r="L39" s="7"/>
      <c r="M39" s="7"/>
    </row>
    <row r="40" spans="1:13" s="7" customFormat="1" x14ac:dyDescent="0.25">
      <c r="A40" s="7" t="s">
        <v>185</v>
      </c>
      <c r="B40" s="8"/>
      <c r="D40" s="7"/>
      <c r="F40" s="7"/>
      <c r="L40" s="7"/>
      <c r="M40" s="7"/>
    </row>
    <row r="41" spans="1:13" s="7" customFormat="1" x14ac:dyDescent="0.25">
      <c r="A41" s="7" t="s">
        <v>186</v>
      </c>
      <c r="B41" s="8"/>
      <c r="D41" s="7"/>
      <c r="F41" s="7"/>
      <c r="L41" s="7"/>
      <c r="M41" s="7"/>
    </row>
    <row r="42" spans="1:13" s="7" customFormat="1" x14ac:dyDescent="0.25">
      <c r="A42" s="7" t="s">
        <v>187</v>
      </c>
      <c r="B42" s="8"/>
      <c r="D42" s="7"/>
      <c r="F42" s="7"/>
      <c r="L42" s="7"/>
      <c r="M42" s="7"/>
    </row>
    <row r="43" spans="1:13" s="7" customFormat="1" x14ac:dyDescent="0.25">
      <c r="A43" s="7" t="s">
        <v>188</v>
      </c>
      <c r="B43" s="8"/>
      <c r="D43" s="7"/>
      <c r="F43" s="7"/>
      <c r="L43" s="7"/>
      <c r="M43" s="7"/>
    </row>
    <row r="44" spans="1:13" s="7" customFormat="1" x14ac:dyDescent="0.25">
      <c r="A44" s="7" t="s">
        <v>189</v>
      </c>
      <c r="B44" s="8"/>
      <c r="D44" s="7"/>
      <c r="F44" s="7"/>
      <c r="L44" s="7"/>
      <c r="M44" s="7"/>
    </row>
    <row r="45" spans="1:13" s="7" customFormat="1" x14ac:dyDescent="0.25">
      <c r="A45" s="7" t="s">
        <v>190</v>
      </c>
      <c r="B45" s="8"/>
      <c r="D45" s="7"/>
      <c r="F45" s="7"/>
      <c r="L45" s="7"/>
      <c r="M45" s="7"/>
    </row>
    <row r="46" spans="1:13" s="7" customFormat="1" x14ac:dyDescent="0.25">
      <c r="A46" s="7" t="s">
        <v>191</v>
      </c>
      <c r="B46" s="8"/>
      <c r="D46" s="7"/>
      <c r="F46" s="7"/>
      <c r="L46" s="7"/>
      <c r="M46" s="7"/>
    </row>
    <row r="47" spans="1:13" s="7" customFormat="1" x14ac:dyDescent="0.25">
      <c r="A47" s="7" t="s">
        <v>192</v>
      </c>
      <c r="B47" s="8"/>
      <c r="D47" s="7"/>
      <c r="F47" s="7"/>
      <c r="L47" s="7"/>
      <c r="M47" s="7"/>
    </row>
    <row r="48" spans="1:13" s="7" customFormat="1" x14ac:dyDescent="0.25">
      <c r="A48" s="7" t="s">
        <v>193</v>
      </c>
      <c r="B48" s="8"/>
      <c r="D48" s="7"/>
      <c r="F48" s="7"/>
      <c r="L48" s="7"/>
      <c r="M48" s="7"/>
    </row>
    <row r="49" spans="1:13" s="7" customFormat="1" x14ac:dyDescent="0.25">
      <c r="A49" s="7" t="s">
        <v>194</v>
      </c>
      <c r="B49" s="8"/>
      <c r="D49" s="7"/>
      <c r="F49" s="7"/>
      <c r="L49" s="7"/>
      <c r="M49" s="7"/>
    </row>
    <row r="50" spans="1:13" s="7" customFormat="1" x14ac:dyDescent="0.25">
      <c r="A50" s="7" t="s">
        <v>195</v>
      </c>
      <c r="B50" s="8"/>
      <c r="D50" s="7"/>
      <c r="F50" s="7"/>
      <c r="L50" s="7"/>
      <c r="M50" s="7"/>
    </row>
    <row r="51" spans="1:13" s="7" customFormat="1" x14ac:dyDescent="0.25">
      <c r="A51" s="7" t="s">
        <v>196</v>
      </c>
      <c r="B51" s="8"/>
      <c r="D51" s="7"/>
      <c r="F51" s="7"/>
      <c r="L51" s="7"/>
      <c r="M51" s="7"/>
    </row>
    <row r="52" spans="1:13" s="7" customFormat="1" x14ac:dyDescent="0.25">
      <c r="A52" s="7" t="s">
        <v>197</v>
      </c>
      <c r="B52" s="8"/>
      <c r="D52" s="7"/>
      <c r="F52" s="7"/>
      <c r="L52" s="7"/>
      <c r="M52" s="7"/>
    </row>
    <row r="53" spans="1:13" s="7" customFormat="1" x14ac:dyDescent="0.25">
      <c r="A53" s="7" t="s">
        <v>198</v>
      </c>
      <c r="B53" s="8"/>
      <c r="D53" s="7"/>
      <c r="F53" s="7"/>
      <c r="L53" s="7"/>
      <c r="M53" s="7"/>
    </row>
    <row r="54" spans="1:13" s="7" customFormat="1" x14ac:dyDescent="0.25">
      <c r="A54" s="7" t="s">
        <v>199</v>
      </c>
      <c r="B54" s="8"/>
      <c r="D54" s="7"/>
      <c r="F54" s="7"/>
      <c r="L54" s="7"/>
      <c r="M54" s="7"/>
    </row>
    <row r="55" spans="1:13" s="7" customFormat="1" x14ac:dyDescent="0.25">
      <c r="A55" s="7" t="s">
        <v>200</v>
      </c>
      <c r="B55" s="8"/>
      <c r="D55" s="7"/>
      <c r="F55" s="7"/>
      <c r="L55" s="7"/>
      <c r="M55" s="7"/>
    </row>
    <row r="56" spans="1:13" s="7" customFormat="1" x14ac:dyDescent="0.25">
      <c r="A56" s="7" t="s">
        <v>201</v>
      </c>
      <c r="B56" s="8"/>
      <c r="D56" s="7"/>
      <c r="F56" s="7"/>
      <c r="L56" s="7"/>
      <c r="M56" s="7"/>
    </row>
    <row r="57" spans="1:13" s="7" customFormat="1" x14ac:dyDescent="0.25">
      <c r="A57" s="7" t="s">
        <v>202</v>
      </c>
      <c r="B57" s="8"/>
      <c r="D57" s="7"/>
      <c r="F57" s="7"/>
      <c r="L57" s="7"/>
      <c r="M57" s="7"/>
    </row>
    <row r="58" spans="1:13" s="7" customFormat="1" x14ac:dyDescent="0.25">
      <c r="A58" s="7" t="s">
        <v>203</v>
      </c>
      <c r="B58" s="8"/>
      <c r="D58" s="7"/>
      <c r="F58" s="7"/>
      <c r="L58" s="7"/>
      <c r="M58" s="7"/>
    </row>
    <row r="59" spans="1:13" s="7" customFormat="1" x14ac:dyDescent="0.25">
      <c r="A59" s="7" t="s">
        <v>204</v>
      </c>
      <c r="B59" s="8"/>
      <c r="D59" s="7"/>
      <c r="F59" s="7"/>
      <c r="L59" s="7"/>
      <c r="M59" s="7"/>
    </row>
    <row r="60" spans="1:13" s="7" customFormat="1" x14ac:dyDescent="0.25">
      <c r="A60" s="7" t="s">
        <v>205</v>
      </c>
      <c r="B60" s="8"/>
      <c r="D60" s="7"/>
      <c r="F60" s="7"/>
      <c r="L60" s="7"/>
      <c r="M60" s="7"/>
    </row>
    <row r="61" spans="1:13" s="7" customFormat="1" x14ac:dyDescent="0.25">
      <c r="A61" s="7" t="s">
        <v>206</v>
      </c>
      <c r="B61" s="8"/>
      <c r="D61" s="7"/>
      <c r="F61" s="7"/>
      <c r="L61" s="7"/>
      <c r="M61" s="7"/>
    </row>
    <row r="62" spans="1:13" s="7" customFormat="1" x14ac:dyDescent="0.25">
      <c r="A62" s="7" t="s">
        <v>207</v>
      </c>
      <c r="B62" s="8"/>
      <c r="D62" s="7"/>
      <c r="F62" s="7"/>
      <c r="L62" s="7"/>
      <c r="M62" s="7"/>
    </row>
    <row r="63" spans="1:13" s="7" customFormat="1" x14ac:dyDescent="0.25">
      <c r="A63" s="7" t="s">
        <v>208</v>
      </c>
      <c r="B63" s="8"/>
      <c r="D63" s="7"/>
      <c r="F63" s="7"/>
      <c r="L63" s="7"/>
      <c r="M63" s="7"/>
    </row>
    <row r="64" spans="1:13" s="7" customFormat="1" x14ac:dyDescent="0.25">
      <c r="A64" s="7" t="s">
        <v>209</v>
      </c>
      <c r="B64" s="8"/>
      <c r="D64" s="7"/>
      <c r="F64" s="7"/>
      <c r="L64" s="7"/>
      <c r="M64" s="7"/>
    </row>
    <row r="65" spans="1:13" s="7" customFormat="1" x14ac:dyDescent="0.25">
      <c r="A65" s="7" t="s">
        <v>210</v>
      </c>
      <c r="B65" s="8"/>
      <c r="D65" s="7"/>
      <c r="F65" s="7"/>
      <c r="L65" s="7"/>
      <c r="M65" s="7"/>
    </row>
    <row r="66" spans="1:13" s="7" customFormat="1" x14ac:dyDescent="0.25">
      <c r="A66" s="7" t="s">
        <v>211</v>
      </c>
      <c r="B66" s="8"/>
      <c r="D66" s="7"/>
      <c r="F66" s="7"/>
      <c r="L66" s="7"/>
      <c r="M66" s="7"/>
    </row>
    <row r="67" spans="1:13" s="7" customFormat="1" x14ac:dyDescent="0.25">
      <c r="A67" s="7" t="s">
        <v>212</v>
      </c>
      <c r="B67" s="8"/>
      <c r="D67" s="7"/>
      <c r="F67" s="7"/>
      <c r="L67" s="7"/>
      <c r="M67" s="7"/>
    </row>
    <row r="68" spans="1:13" s="7" customFormat="1" x14ac:dyDescent="0.25">
      <c r="A68" s="7" t="s">
        <v>213</v>
      </c>
      <c r="B68" s="8"/>
      <c r="D68" s="7"/>
      <c r="F68" s="7"/>
      <c r="L68" s="7"/>
      <c r="M68" s="7"/>
    </row>
    <row r="69" spans="1:13" s="7" customFormat="1" x14ac:dyDescent="0.25">
      <c r="A69" s="7" t="s">
        <v>214</v>
      </c>
      <c r="B69" s="8"/>
      <c r="D69" s="7"/>
      <c r="F69" s="7"/>
      <c r="L69" s="7"/>
      <c r="M69" s="7"/>
    </row>
    <row r="70" spans="1:13" s="7" customFormat="1" x14ac:dyDescent="0.25">
      <c r="A70" s="7" t="s">
        <v>215</v>
      </c>
      <c r="B70" s="8"/>
      <c r="D70" s="7"/>
      <c r="F70" s="7"/>
      <c r="L70" s="7"/>
      <c r="M70" s="7"/>
    </row>
    <row r="71" spans="1:13" s="7" customFormat="1" x14ac:dyDescent="0.25">
      <c r="A71" s="7" t="s">
        <v>216</v>
      </c>
      <c r="B71" s="8"/>
      <c r="D71" s="7"/>
      <c r="F71" s="7"/>
      <c r="L71" s="7"/>
      <c r="M71" s="7"/>
    </row>
    <row r="72" spans="1:13" s="7" customFormat="1" x14ac:dyDescent="0.25">
      <c r="A72" s="7" t="s">
        <v>217</v>
      </c>
      <c r="B72" s="8"/>
      <c r="D72" s="7"/>
      <c r="F72" s="7"/>
      <c r="L72" s="7"/>
      <c r="M72" s="7"/>
    </row>
    <row r="73" spans="1:13" s="7" customFormat="1" x14ac:dyDescent="0.25">
      <c r="A73" s="7" t="s">
        <v>218</v>
      </c>
      <c r="B73" s="8"/>
      <c r="D73" s="7"/>
      <c r="F73" s="7"/>
      <c r="L73" s="7"/>
      <c r="M73" s="7"/>
    </row>
    <row r="74" spans="1:13" s="7" customFormat="1" x14ac:dyDescent="0.25">
      <c r="A74" s="7" t="s">
        <v>219</v>
      </c>
      <c r="B74" s="8"/>
      <c r="D74" s="7"/>
      <c r="F74" s="7"/>
      <c r="L74" s="7"/>
      <c r="M74" s="7"/>
    </row>
    <row r="75" spans="1:13" s="7" customFormat="1" x14ac:dyDescent="0.25">
      <c r="A75" s="7" t="s">
        <v>220</v>
      </c>
      <c r="B75" s="8"/>
      <c r="D75" s="7"/>
      <c r="F75" s="7"/>
      <c r="L75" s="7"/>
      <c r="M75" s="7"/>
    </row>
    <row r="76" spans="1:13" s="7" customFormat="1" x14ac:dyDescent="0.25">
      <c r="A76" s="7" t="s">
        <v>221</v>
      </c>
      <c r="B76" s="8"/>
      <c r="D76" s="7"/>
      <c r="F76" s="7"/>
      <c r="L76" s="7"/>
      <c r="M76" s="7"/>
    </row>
    <row r="77" spans="1:13" s="7" customFormat="1" x14ac:dyDescent="0.25">
      <c r="A77" s="7" t="s">
        <v>222</v>
      </c>
      <c r="B77" s="8"/>
      <c r="D77" s="7"/>
      <c r="F77" s="7"/>
      <c r="L77" s="7"/>
      <c r="M77" s="7"/>
    </row>
    <row r="78" spans="1:13" s="7" customFormat="1" x14ac:dyDescent="0.25">
      <c r="A78" s="7" t="s">
        <v>223</v>
      </c>
      <c r="B78" s="8"/>
      <c r="D78" s="7"/>
      <c r="F78" s="7"/>
      <c r="L78" s="7"/>
      <c r="M78" s="7"/>
    </row>
    <row r="79" spans="1:13" s="7" customFormat="1" x14ac:dyDescent="0.25">
      <c r="A79" s="7" t="s">
        <v>224</v>
      </c>
      <c r="B79" s="8"/>
      <c r="D79" s="7"/>
      <c r="F79" s="7"/>
      <c r="L79" s="7"/>
      <c r="M79" s="7"/>
    </row>
    <row r="80" spans="1:13" s="7" customFormat="1" x14ac:dyDescent="0.25">
      <c r="A80" s="7" t="s">
        <v>225</v>
      </c>
      <c r="B80" s="8"/>
      <c r="D80" s="7"/>
      <c r="F80" s="7"/>
      <c r="L80" s="7"/>
      <c r="M80" s="7"/>
    </row>
    <row r="81" spans="1:13" s="7" customFormat="1" x14ac:dyDescent="0.25">
      <c r="A81" s="7" t="s">
        <v>226</v>
      </c>
      <c r="B81" s="8"/>
      <c r="D81" s="7"/>
      <c r="F81" s="7"/>
      <c r="L81" s="7"/>
      <c r="M81" s="7"/>
    </row>
    <row r="82" spans="1:13" s="7" customFormat="1" x14ac:dyDescent="0.25">
      <c r="A82" s="7" t="s">
        <v>227</v>
      </c>
      <c r="B82" s="8"/>
      <c r="D82" s="7"/>
      <c r="F82" s="7"/>
      <c r="L82" s="7"/>
      <c r="M82" s="7"/>
    </row>
    <row r="83" spans="1:13" s="7" customFormat="1" x14ac:dyDescent="0.25">
      <c r="A83" s="7" t="s">
        <v>228</v>
      </c>
      <c r="B83" s="8"/>
      <c r="D83" s="7"/>
      <c r="F83" s="7"/>
      <c r="L83" s="7"/>
      <c r="M83" s="7"/>
    </row>
    <row r="84" spans="1:13" s="7" customFormat="1" x14ac:dyDescent="0.25">
      <c r="A84" s="7" t="s">
        <v>229</v>
      </c>
      <c r="B84" s="8"/>
      <c r="D84" s="7"/>
      <c r="F84" s="7"/>
      <c r="L84" s="7"/>
      <c r="M84" s="7"/>
    </row>
    <row r="85" spans="1:13" s="7" customFormat="1" x14ac:dyDescent="0.25">
      <c r="A85" s="7" t="s">
        <v>230</v>
      </c>
      <c r="B85" s="8"/>
      <c r="D85" s="7"/>
      <c r="F85" s="7"/>
      <c r="L85" s="7"/>
      <c r="M85" s="7"/>
    </row>
    <row r="86" spans="1:13" s="7" customFormat="1" x14ac:dyDescent="0.25">
      <c r="A86" s="7" t="s">
        <v>231</v>
      </c>
      <c r="B86" s="8"/>
      <c r="D86" s="7"/>
      <c r="F86" s="7"/>
      <c r="L86" s="7"/>
      <c r="M86" s="7"/>
    </row>
    <row r="87" spans="1:13" s="7" customFormat="1" x14ac:dyDescent="0.25">
      <c r="A87" s="7" t="s">
        <v>232</v>
      </c>
      <c r="B87" s="8"/>
      <c r="D87" s="7"/>
      <c r="F87" s="7"/>
      <c r="L87" s="7"/>
      <c r="M87" s="7"/>
    </row>
    <row r="88" spans="1:13" s="7" customFormat="1" x14ac:dyDescent="0.25">
      <c r="A88" s="7" t="s">
        <v>233</v>
      </c>
      <c r="B88" s="8"/>
      <c r="D88" s="7"/>
      <c r="F88" s="7"/>
      <c r="L88" s="7"/>
      <c r="M88" s="7"/>
    </row>
    <row r="89" spans="1:13" s="7" customFormat="1" x14ac:dyDescent="0.25">
      <c r="A89" s="7" t="s">
        <v>234</v>
      </c>
      <c r="B89" s="8"/>
      <c r="D89" s="7"/>
      <c r="F89" s="7"/>
      <c r="L89" s="7"/>
      <c r="M89" s="7"/>
    </row>
    <row r="90" spans="1:13" s="7" customFormat="1" x14ac:dyDescent="0.25">
      <c r="A90" s="7" t="s">
        <v>235</v>
      </c>
      <c r="B90" s="8"/>
      <c r="D90" s="7"/>
      <c r="F90" s="7"/>
      <c r="L90" s="7"/>
      <c r="M90" s="7"/>
    </row>
    <row r="91" spans="1:13" s="7" customFormat="1" x14ac:dyDescent="0.25">
      <c r="A91" s="7" t="s">
        <v>236</v>
      </c>
      <c r="B91" s="8"/>
      <c r="D91" s="7"/>
      <c r="F91" s="7"/>
      <c r="L91" s="7"/>
      <c r="M91" s="7"/>
    </row>
    <row r="92" spans="1:13" s="7" customFormat="1" x14ac:dyDescent="0.25">
      <c r="A92" s="7" t="s">
        <v>237</v>
      </c>
      <c r="B92" s="8"/>
      <c r="D92" s="7"/>
      <c r="F92" s="7"/>
      <c r="L92" s="7"/>
      <c r="M92" s="7"/>
    </row>
    <row r="93" spans="1:13" s="7" customFormat="1" x14ac:dyDescent="0.25">
      <c r="A93" s="7" t="s">
        <v>238</v>
      </c>
      <c r="B93" s="8"/>
      <c r="D93" s="7"/>
      <c r="F93" s="7"/>
      <c r="L93" s="7"/>
      <c r="M93" s="7"/>
    </row>
    <row r="94" spans="1:13" s="7" customFormat="1" x14ac:dyDescent="0.25">
      <c r="A94" s="7" t="s">
        <v>239</v>
      </c>
      <c r="B94" s="8"/>
      <c r="D94" s="7"/>
      <c r="F94" s="7"/>
      <c r="L94" s="7"/>
      <c r="M94" s="7"/>
    </row>
    <row r="95" spans="1:13" s="7" customFormat="1" x14ac:dyDescent="0.25">
      <c r="A95" s="7" t="s">
        <v>240</v>
      </c>
      <c r="B95" s="8"/>
      <c r="D95" s="7"/>
      <c r="F95" s="7"/>
      <c r="L95" s="7"/>
      <c r="M95" s="7"/>
    </row>
    <row r="96" spans="1:13" s="7" customFormat="1" x14ac:dyDescent="0.25">
      <c r="A96" s="7" t="s">
        <v>241</v>
      </c>
      <c r="B96" s="8"/>
      <c r="D96" s="7"/>
      <c r="F96" s="7"/>
      <c r="L96" s="7"/>
      <c r="M96" s="7"/>
    </row>
    <row r="97" spans="1:13" s="7" customFormat="1" x14ac:dyDescent="0.25">
      <c r="A97" s="7" t="s">
        <v>242</v>
      </c>
      <c r="B97" s="8"/>
      <c r="D97" s="7"/>
      <c r="F97" s="7"/>
      <c r="L97" s="7"/>
      <c r="M97" s="7"/>
    </row>
    <row r="98" spans="1:13" s="7" customFormat="1" x14ac:dyDescent="0.25">
      <c r="A98" s="7" t="s">
        <v>243</v>
      </c>
      <c r="B98" s="8"/>
      <c r="D98" s="7"/>
      <c r="F98" s="7"/>
      <c r="L98" s="7"/>
      <c r="M98" s="7"/>
    </row>
    <row r="99" spans="1:13" s="7" customFormat="1" x14ac:dyDescent="0.25">
      <c r="A99" s="7" t="s">
        <v>244</v>
      </c>
      <c r="B99" s="8"/>
      <c r="D99" s="7"/>
      <c r="F99" s="7"/>
      <c r="L99" s="7"/>
      <c r="M99" s="7"/>
    </row>
    <row r="100" spans="1:13" s="7" customFormat="1" x14ac:dyDescent="0.25">
      <c r="A100" s="7" t="s">
        <v>245</v>
      </c>
      <c r="B100" s="8"/>
      <c r="D100" s="7"/>
      <c r="F100" s="7"/>
      <c r="L100" s="7"/>
      <c r="M100" s="7"/>
    </row>
    <row r="101" spans="1:13" s="7" customFormat="1" x14ac:dyDescent="0.25">
      <c r="A101" s="7" t="s">
        <v>246</v>
      </c>
      <c r="B101" s="8"/>
      <c r="D101" s="7"/>
      <c r="F101" s="7"/>
      <c r="L101" s="7"/>
      <c r="M101" s="7"/>
    </row>
    <row r="102" spans="1:13" s="7" customFormat="1" x14ac:dyDescent="0.25">
      <c r="A102" s="7" t="s">
        <v>247</v>
      </c>
      <c r="B102" s="8"/>
      <c r="D102" s="7"/>
      <c r="F102" s="7"/>
      <c r="L102" s="7"/>
      <c r="M102" s="7"/>
    </row>
    <row r="103" spans="1:13" s="7" customFormat="1" x14ac:dyDescent="0.25">
      <c r="A103" s="7" t="s">
        <v>248</v>
      </c>
      <c r="B103" s="8"/>
      <c r="D103" s="7"/>
      <c r="F103" s="7"/>
      <c r="L103" s="7"/>
      <c r="M103" s="7"/>
    </row>
    <row r="104" spans="1:13" s="7" customFormat="1" x14ac:dyDescent="0.25">
      <c r="A104" s="7" t="s">
        <v>249</v>
      </c>
      <c r="B104" s="8"/>
      <c r="D104" s="7"/>
      <c r="F104" s="7"/>
      <c r="L104" s="7"/>
      <c r="M104" s="7"/>
    </row>
    <row r="105" spans="1:13" s="7" customFormat="1" x14ac:dyDescent="0.25">
      <c r="A105" s="7" t="s">
        <v>250</v>
      </c>
      <c r="B105" s="8"/>
      <c r="D105" s="7"/>
      <c r="F105" s="7"/>
      <c r="L105" s="7"/>
      <c r="M105" s="7"/>
    </row>
    <row r="106" spans="1:13" s="7" customFormat="1" x14ac:dyDescent="0.25">
      <c r="A106" s="7" t="s">
        <v>251</v>
      </c>
      <c r="B106" s="8"/>
      <c r="D106" s="7"/>
      <c r="F106" s="7"/>
      <c r="L106" s="7"/>
      <c r="M106" s="7"/>
    </row>
    <row r="107" spans="1:13" s="7" customFormat="1" x14ac:dyDescent="0.25">
      <c r="A107" s="7" t="s">
        <v>252</v>
      </c>
      <c r="B107" s="8"/>
      <c r="D107" s="7"/>
      <c r="F107" s="7"/>
      <c r="L107" s="7"/>
      <c r="M107" s="7"/>
    </row>
    <row r="108" spans="1:13" s="7" customFormat="1" x14ac:dyDescent="0.25">
      <c r="A108" s="7" t="s">
        <v>253</v>
      </c>
      <c r="B108" s="8"/>
      <c r="D108" s="7"/>
      <c r="F108" s="7"/>
      <c r="L108" s="7"/>
      <c r="M108" s="7"/>
    </row>
    <row r="109" spans="1:13" s="7" customFormat="1" x14ac:dyDescent="0.25">
      <c r="A109" s="7" t="s">
        <v>254</v>
      </c>
      <c r="B109" s="8"/>
      <c r="D109" s="7"/>
      <c r="F109" s="7"/>
      <c r="L109" s="7"/>
      <c r="M109" s="7"/>
    </row>
    <row r="110" spans="1:13" s="7" customFormat="1" x14ac:dyDescent="0.25">
      <c r="A110" s="7" t="s">
        <v>255</v>
      </c>
      <c r="B110" s="8"/>
      <c r="D110" s="7"/>
      <c r="F110" s="7"/>
      <c r="L110" s="7"/>
      <c r="M110" s="7"/>
    </row>
    <row r="111" spans="1:13" s="7" customFormat="1" x14ac:dyDescent="0.25">
      <c r="A111" s="7" t="s">
        <v>256</v>
      </c>
      <c r="B111" s="8"/>
      <c r="D111" s="7"/>
      <c r="F111" s="7"/>
      <c r="L111" s="7"/>
      <c r="M111" s="7"/>
    </row>
    <row r="112" spans="1:13" s="7" customFormat="1" x14ac:dyDescent="0.25">
      <c r="A112" s="7" t="s">
        <v>257</v>
      </c>
      <c r="B112" s="8"/>
      <c r="D112" s="7"/>
      <c r="F112" s="7"/>
      <c r="L112" s="7"/>
      <c r="M112" s="7"/>
    </row>
    <row r="113" spans="1:13" s="7" customFormat="1" x14ac:dyDescent="0.25">
      <c r="A113" s="7" t="s">
        <v>258</v>
      </c>
      <c r="B113" s="8"/>
      <c r="D113" s="7"/>
      <c r="F113" s="7"/>
      <c r="L113" s="7"/>
      <c r="M113" s="7"/>
    </row>
    <row r="114" spans="1:13" s="7" customFormat="1" x14ac:dyDescent="0.25">
      <c r="A114" s="7" t="s">
        <v>259</v>
      </c>
      <c r="B114" s="8"/>
      <c r="D114" s="7"/>
      <c r="F114" s="7"/>
      <c r="L114" s="7"/>
      <c r="M114" s="7"/>
    </row>
    <row r="115" spans="1:13" s="7" customFormat="1" x14ac:dyDescent="0.25">
      <c r="A115" s="7" t="s">
        <v>260</v>
      </c>
      <c r="B115" s="8"/>
      <c r="D115" s="7"/>
      <c r="F115" s="7"/>
      <c r="L115" s="7"/>
      <c r="M115" s="7"/>
    </row>
    <row r="116" spans="1:13" s="7" customFormat="1" x14ac:dyDescent="0.25">
      <c r="A116" s="7" t="s">
        <v>261</v>
      </c>
      <c r="B116" s="8"/>
      <c r="D116" s="7"/>
      <c r="F116" s="7"/>
      <c r="L116" s="7"/>
      <c r="M116" s="7"/>
    </row>
    <row r="117" spans="1:13" s="7" customFormat="1" x14ac:dyDescent="0.25">
      <c r="A117" s="7" t="s">
        <v>262</v>
      </c>
      <c r="B117" s="8"/>
      <c r="D117" s="7"/>
      <c r="F117" s="7"/>
      <c r="L117" s="7"/>
      <c r="M117" s="7"/>
    </row>
    <row r="118" spans="1:13" s="7" customFormat="1" x14ac:dyDescent="0.25">
      <c r="A118" s="7" t="s">
        <v>263</v>
      </c>
      <c r="B118" s="8"/>
      <c r="D118" s="7"/>
      <c r="F118" s="7"/>
      <c r="L118" s="7"/>
      <c r="M118" s="7"/>
    </row>
    <row r="119" spans="1:13" s="7" customFormat="1" x14ac:dyDescent="0.25">
      <c r="A119" s="7" t="s">
        <v>264</v>
      </c>
      <c r="B119" s="8"/>
      <c r="D119" s="7"/>
      <c r="F119" s="7"/>
      <c r="L119" s="7"/>
      <c r="M119" s="7"/>
    </row>
    <row r="120" spans="1:13" s="7" customFormat="1" x14ac:dyDescent="0.25">
      <c r="A120" s="7" t="s">
        <v>265</v>
      </c>
      <c r="B120" s="8"/>
      <c r="D120" s="7"/>
      <c r="F120" s="7"/>
      <c r="L120" s="7"/>
      <c r="M120" s="7"/>
    </row>
    <row r="121" spans="1:13" s="7" customFormat="1" x14ac:dyDescent="0.25">
      <c r="A121" s="7" t="s">
        <v>266</v>
      </c>
      <c r="B121" s="8"/>
      <c r="D121" s="7"/>
      <c r="F121" s="7"/>
      <c r="L121" s="7"/>
      <c r="M121" s="7"/>
    </row>
    <row r="122" spans="1:13" s="7" customFormat="1" x14ac:dyDescent="0.25">
      <c r="A122" s="7" t="s">
        <v>267</v>
      </c>
      <c r="B122" s="8"/>
      <c r="D122" s="7"/>
      <c r="F122" s="7"/>
      <c r="L122" s="7"/>
      <c r="M122" s="7"/>
    </row>
    <row r="123" spans="1:13" s="7" customFormat="1" x14ac:dyDescent="0.25">
      <c r="A123" s="7" t="s">
        <v>268</v>
      </c>
      <c r="B123" s="8"/>
      <c r="D123" s="7"/>
      <c r="F123" s="7"/>
      <c r="L123" s="7"/>
      <c r="M123" s="7"/>
    </row>
    <row r="124" spans="1:13" s="7" customFormat="1" x14ac:dyDescent="0.25">
      <c r="A124" s="7" t="s">
        <v>269</v>
      </c>
      <c r="B124" s="8"/>
      <c r="D124" s="7"/>
      <c r="F124" s="7"/>
      <c r="L124" s="7"/>
      <c r="M124" s="7"/>
    </row>
    <row r="125" spans="1:13" s="7" customFormat="1" x14ac:dyDescent="0.25">
      <c r="A125" s="7" t="s">
        <v>270</v>
      </c>
      <c r="B125" s="8"/>
      <c r="D125" s="7"/>
      <c r="F125" s="7"/>
      <c r="L125" s="7"/>
      <c r="M125" s="7"/>
    </row>
    <row r="126" spans="1:13" s="7" customFormat="1" x14ac:dyDescent="0.25">
      <c r="A126" s="7" t="s">
        <v>271</v>
      </c>
      <c r="B126" s="8"/>
      <c r="D126" s="7"/>
      <c r="F126" s="7"/>
      <c r="L126" s="7"/>
      <c r="M126" s="7"/>
    </row>
    <row r="127" spans="1:13" s="7" customFormat="1" x14ac:dyDescent="0.25">
      <c r="A127" s="7" t="s">
        <v>272</v>
      </c>
      <c r="B127" s="8"/>
      <c r="D127" s="7"/>
      <c r="F127" s="7"/>
      <c r="L127" s="7"/>
      <c r="M127" s="7"/>
    </row>
    <row r="128" spans="1:13" s="7" customFormat="1" x14ac:dyDescent="0.25">
      <c r="A128" s="7" t="s">
        <v>273</v>
      </c>
      <c r="B128" s="8"/>
      <c r="D128" s="7"/>
      <c r="F128" s="7"/>
      <c r="L128" s="7"/>
      <c r="M128" s="7"/>
    </row>
    <row r="129" spans="1:13" s="7" customFormat="1" x14ac:dyDescent="0.25">
      <c r="A129" s="7" t="s">
        <v>274</v>
      </c>
      <c r="B129" s="8"/>
      <c r="D129" s="7"/>
      <c r="F129" s="7"/>
      <c r="L129" s="7"/>
      <c r="M129" s="7"/>
    </row>
    <row r="130" spans="1:13" s="7" customFormat="1" x14ac:dyDescent="0.25">
      <c r="A130" s="7" t="s">
        <v>275</v>
      </c>
      <c r="B130" s="8"/>
      <c r="D130" s="7"/>
      <c r="F130" s="7"/>
      <c r="L130" s="7"/>
      <c r="M130" s="7"/>
    </row>
    <row r="131" spans="1:13" s="7" customFormat="1" x14ac:dyDescent="0.25">
      <c r="A131" s="7" t="s">
        <v>276</v>
      </c>
      <c r="B131" s="8"/>
      <c r="D131" s="7"/>
      <c r="F131" s="7"/>
      <c r="L131" s="7"/>
      <c r="M131" s="7"/>
    </row>
    <row r="132" spans="1:13" s="7" customFormat="1" x14ac:dyDescent="0.25">
      <c r="A132" s="7" t="s">
        <v>277</v>
      </c>
      <c r="B132" s="8"/>
      <c r="D132" s="7"/>
      <c r="F132" s="7"/>
      <c r="L132" s="7"/>
      <c r="M132" s="7"/>
    </row>
    <row r="133" spans="1:13" s="7" customFormat="1" x14ac:dyDescent="0.25">
      <c r="A133" s="7" t="s">
        <v>278</v>
      </c>
      <c r="B133" s="8"/>
      <c r="D133" s="7"/>
      <c r="F133" s="7"/>
      <c r="L133" s="7"/>
      <c r="M133" s="7"/>
    </row>
    <row r="134" spans="1:13" s="7" customFormat="1" x14ac:dyDescent="0.25">
      <c r="A134" s="7" t="s">
        <v>279</v>
      </c>
      <c r="B134" s="8"/>
      <c r="D134" s="7"/>
      <c r="F134" s="7"/>
      <c r="L134" s="7"/>
      <c r="M134" s="7"/>
    </row>
    <row r="135" spans="1:13" s="7" customFormat="1" x14ac:dyDescent="0.25">
      <c r="A135" s="7" t="s">
        <v>280</v>
      </c>
      <c r="B135" s="8"/>
      <c r="D135" s="7"/>
      <c r="F135" s="7"/>
      <c r="L135" s="7"/>
      <c r="M135" s="7"/>
    </row>
    <row r="136" spans="1:13" s="7" customFormat="1" x14ac:dyDescent="0.25">
      <c r="A136" s="7" t="s">
        <v>281</v>
      </c>
      <c r="B136" s="8"/>
      <c r="D136" s="7"/>
      <c r="F136" s="7"/>
      <c r="L136" s="7"/>
      <c r="M136" s="7"/>
    </row>
    <row r="137" spans="1:13" s="7" customFormat="1" x14ac:dyDescent="0.25">
      <c r="A137" s="7" t="s">
        <v>282</v>
      </c>
      <c r="B137" s="8"/>
      <c r="D137" s="7"/>
      <c r="F137" s="7"/>
      <c r="L137" s="7"/>
      <c r="M137" s="7"/>
    </row>
    <row r="138" spans="1:13" s="7" customFormat="1" x14ac:dyDescent="0.25">
      <c r="A138" s="7" t="s">
        <v>283</v>
      </c>
      <c r="B138" s="8"/>
      <c r="D138" s="7"/>
      <c r="F138" s="7"/>
      <c r="L138" s="7"/>
      <c r="M138" s="7"/>
    </row>
    <row r="139" spans="1:13" s="7" customFormat="1" x14ac:dyDescent="0.25">
      <c r="A139" s="7" t="s">
        <v>284</v>
      </c>
      <c r="B139" s="8"/>
      <c r="D139" s="7"/>
      <c r="F139" s="7"/>
      <c r="L139" s="7"/>
      <c r="M139" s="7"/>
    </row>
    <row r="140" spans="1:13" s="7" customFormat="1" x14ac:dyDescent="0.25">
      <c r="A140" s="7" t="s">
        <v>285</v>
      </c>
      <c r="B140" s="8"/>
      <c r="D140" s="7"/>
      <c r="F140" s="7"/>
      <c r="L140" s="7"/>
      <c r="M140" s="7"/>
    </row>
    <row r="141" spans="1:13" s="7" customFormat="1" x14ac:dyDescent="0.25">
      <c r="A141" s="7" t="s">
        <v>286</v>
      </c>
      <c r="B141" s="8"/>
      <c r="D141" s="7"/>
      <c r="F141" s="7"/>
      <c r="L141" s="7"/>
      <c r="M141" s="7"/>
    </row>
    <row r="142" spans="1:13" s="7" customFormat="1" x14ac:dyDescent="0.25">
      <c r="A142" s="7" t="s">
        <v>287</v>
      </c>
      <c r="B142" s="8"/>
      <c r="D142" s="7"/>
      <c r="F142" s="7"/>
      <c r="L142" s="7"/>
      <c r="M142" s="7"/>
    </row>
    <row r="143" spans="1:13" s="7" customFormat="1" x14ac:dyDescent="0.25">
      <c r="A143" s="7" t="s">
        <v>288</v>
      </c>
      <c r="B143" s="8"/>
      <c r="D143" s="7"/>
      <c r="F143" s="7"/>
      <c r="L143" s="7"/>
      <c r="M143" s="7"/>
    </row>
    <row r="144" spans="1:13" s="7" customFormat="1" x14ac:dyDescent="0.25">
      <c r="A144" s="7" t="s">
        <v>289</v>
      </c>
      <c r="B144" s="8"/>
      <c r="D144" s="7"/>
      <c r="F144" s="7"/>
      <c r="L144" s="7"/>
      <c r="M144" s="7"/>
    </row>
    <row r="145" spans="1:13" s="7" customFormat="1" x14ac:dyDescent="0.25">
      <c r="A145" s="7" t="s">
        <v>290</v>
      </c>
      <c r="B145" s="8"/>
      <c r="D145" s="7"/>
      <c r="F145" s="7"/>
      <c r="L145" s="7"/>
      <c r="M145" s="7"/>
    </row>
    <row r="146" spans="1:13" s="7" customFormat="1" x14ac:dyDescent="0.25">
      <c r="A146" s="7" t="s">
        <v>291</v>
      </c>
      <c r="B146" s="8"/>
      <c r="D146" s="7"/>
      <c r="F146" s="7"/>
      <c r="L146" s="7"/>
      <c r="M146" s="7"/>
    </row>
    <row r="147" spans="1:13" s="7" customFormat="1" x14ac:dyDescent="0.25">
      <c r="A147" s="7" t="s">
        <v>292</v>
      </c>
      <c r="B147" s="8"/>
      <c r="D147" s="7"/>
      <c r="F147" s="7"/>
      <c r="L147" s="7"/>
      <c r="M147" s="7"/>
    </row>
    <row r="148" spans="1:13" s="7" customFormat="1" x14ac:dyDescent="0.25">
      <c r="A148" s="7" t="s">
        <v>293</v>
      </c>
      <c r="B148" s="8"/>
      <c r="D148" s="7"/>
      <c r="F148" s="7"/>
      <c r="L148" s="7"/>
      <c r="M148" s="7"/>
    </row>
    <row r="149" spans="1:13" s="7" customFormat="1" x14ac:dyDescent="0.25">
      <c r="A149" s="7" t="s">
        <v>294</v>
      </c>
      <c r="B149" s="8"/>
      <c r="D149" s="7"/>
      <c r="F149" s="7"/>
      <c r="L149" s="7"/>
      <c r="M149" s="7"/>
    </row>
    <row r="150" spans="1:13" s="7" customFormat="1" x14ac:dyDescent="0.25">
      <c r="A150" s="7" t="s">
        <v>295</v>
      </c>
      <c r="B150" s="8"/>
      <c r="D150" s="7"/>
      <c r="F150" s="7"/>
      <c r="L150" s="7"/>
      <c r="M150" s="7"/>
    </row>
    <row r="151" spans="1:13" s="7" customFormat="1" x14ac:dyDescent="0.25">
      <c r="A151" s="7" t="s">
        <v>296</v>
      </c>
      <c r="B151" s="8"/>
      <c r="D151" s="7"/>
      <c r="F151" s="7"/>
      <c r="L151" s="7"/>
      <c r="M151" s="7"/>
    </row>
    <row r="152" spans="1:13" s="7" customFormat="1" x14ac:dyDescent="0.25">
      <c r="A152" s="7" t="s">
        <v>297</v>
      </c>
      <c r="B152" s="8"/>
      <c r="D152" s="7"/>
      <c r="F152" s="7"/>
      <c r="L152" s="7"/>
      <c r="M152" s="7"/>
    </row>
    <row r="153" spans="1:13" s="7" customFormat="1" x14ac:dyDescent="0.25">
      <c r="A153" s="7" t="s">
        <v>298</v>
      </c>
      <c r="B153" s="8"/>
      <c r="D153" s="7"/>
      <c r="F153" s="7"/>
      <c r="L153" s="7"/>
      <c r="M153" s="7"/>
    </row>
    <row r="154" spans="1:13" s="7" customFormat="1" x14ac:dyDescent="0.25">
      <c r="A154" s="7" t="s">
        <v>299</v>
      </c>
      <c r="B154" s="8"/>
      <c r="D154" s="7"/>
      <c r="F154" s="7"/>
      <c r="L154" s="7"/>
      <c r="M154" s="7"/>
    </row>
    <row r="155" spans="1:13" s="7" customFormat="1" x14ac:dyDescent="0.25">
      <c r="A155" s="7" t="s">
        <v>300</v>
      </c>
      <c r="B155" s="8"/>
      <c r="D155" s="7"/>
      <c r="F155" s="7"/>
      <c r="L155" s="7"/>
      <c r="M155" s="7"/>
    </row>
    <row r="156" spans="1:13" s="7" customFormat="1" x14ac:dyDescent="0.25">
      <c r="A156" s="7" t="s">
        <v>301</v>
      </c>
      <c r="B156" s="8"/>
      <c r="D156" s="7"/>
      <c r="F156" s="7"/>
      <c r="L156" s="7"/>
      <c r="M156" s="7"/>
    </row>
    <row r="157" spans="1:13" s="7" customFormat="1" x14ac:dyDescent="0.25">
      <c r="A157" s="7" t="s">
        <v>302</v>
      </c>
      <c r="B157" s="8"/>
      <c r="D157" s="7"/>
      <c r="F157" s="7"/>
      <c r="L157" s="7"/>
      <c r="M157" s="7"/>
    </row>
    <row r="158" spans="1:13" s="7" customFormat="1" x14ac:dyDescent="0.25">
      <c r="A158" s="7" t="s">
        <v>303</v>
      </c>
      <c r="B158" s="8"/>
      <c r="D158" s="7"/>
      <c r="F158" s="7"/>
      <c r="L158" s="7"/>
      <c r="M158" s="7"/>
    </row>
    <row r="159" spans="1:13" s="7" customFormat="1" x14ac:dyDescent="0.25">
      <c r="A159" s="7" t="s">
        <v>304</v>
      </c>
      <c r="B159" s="8"/>
      <c r="D159" s="7"/>
      <c r="F159" s="7"/>
      <c r="L159" s="7"/>
      <c r="M159" s="7"/>
    </row>
    <row r="160" spans="1:13" s="7" customFormat="1" x14ac:dyDescent="0.25">
      <c r="A160" s="7" t="s">
        <v>305</v>
      </c>
      <c r="B160" s="8"/>
      <c r="D160" s="7"/>
      <c r="F160" s="7"/>
      <c r="L160" s="7"/>
      <c r="M160" s="7"/>
    </row>
    <row r="161" spans="1:13" s="7" customFormat="1" x14ac:dyDescent="0.25">
      <c r="A161" s="7" t="s">
        <v>306</v>
      </c>
      <c r="B161" s="8"/>
      <c r="D161" s="7"/>
      <c r="F161" s="7"/>
      <c r="L161" s="7"/>
      <c r="M161" s="7"/>
    </row>
    <row r="162" spans="1:13" s="7" customFormat="1" x14ac:dyDescent="0.25">
      <c r="A162" s="7" t="s">
        <v>307</v>
      </c>
      <c r="B162" s="8"/>
      <c r="D162" s="7"/>
      <c r="F162" s="7"/>
      <c r="L162" s="7"/>
      <c r="M162" s="7"/>
    </row>
    <row r="163" spans="1:13" s="7" customFormat="1" x14ac:dyDescent="0.25">
      <c r="A163" s="7" t="s">
        <v>308</v>
      </c>
      <c r="B163" s="8"/>
      <c r="D163" s="7"/>
      <c r="F163" s="7"/>
      <c r="L163" s="7"/>
      <c r="M163" s="7"/>
    </row>
    <row r="164" spans="1:13" s="7" customFormat="1" x14ac:dyDescent="0.25">
      <c r="A164" s="7" t="s">
        <v>309</v>
      </c>
      <c r="B164" s="8"/>
      <c r="D164" s="7"/>
      <c r="F164" s="7"/>
      <c r="L164" s="7"/>
      <c r="M164" s="7"/>
    </row>
    <row r="165" spans="1:13" s="7" customFormat="1" x14ac:dyDescent="0.25">
      <c r="A165" s="7" t="s">
        <v>310</v>
      </c>
      <c r="B165" s="8"/>
      <c r="D165" s="7"/>
      <c r="F165" s="7"/>
      <c r="L165" s="7"/>
      <c r="M165" s="7"/>
    </row>
    <row r="166" spans="1:13" s="7" customFormat="1" x14ac:dyDescent="0.25">
      <c r="A166" s="7" t="s">
        <v>311</v>
      </c>
      <c r="B166" s="8"/>
      <c r="D166" s="7"/>
      <c r="F166" s="7"/>
      <c r="L166" s="7"/>
      <c r="M166" s="7"/>
    </row>
    <row r="167" spans="1:13" s="7" customFormat="1" x14ac:dyDescent="0.25">
      <c r="A167" s="7" t="s">
        <v>312</v>
      </c>
      <c r="B167" s="8"/>
      <c r="D167" s="7"/>
      <c r="F167" s="7"/>
      <c r="L167" s="7"/>
      <c r="M167" s="7"/>
    </row>
    <row r="168" spans="1:13" s="7" customFormat="1" x14ac:dyDescent="0.25">
      <c r="A168" s="7" t="s">
        <v>313</v>
      </c>
      <c r="B168" s="8"/>
      <c r="D168" s="7"/>
      <c r="F168" s="7"/>
      <c r="L168" s="7"/>
      <c r="M168" s="7"/>
    </row>
    <row r="169" spans="1:13" s="7" customFormat="1" x14ac:dyDescent="0.25">
      <c r="A169" s="7" t="s">
        <v>314</v>
      </c>
      <c r="B169" s="8"/>
      <c r="D169" s="7"/>
      <c r="F169" s="7"/>
      <c r="L169" s="7"/>
      <c r="M169" s="7"/>
    </row>
    <row r="170" spans="1:13" s="7" customFormat="1" x14ac:dyDescent="0.25">
      <c r="A170" s="7" t="s">
        <v>315</v>
      </c>
      <c r="B170" s="8"/>
      <c r="D170" s="7"/>
      <c r="F170" s="7"/>
      <c r="L170" s="7"/>
      <c r="M170" s="7"/>
    </row>
    <row r="171" spans="1:13" s="7" customFormat="1" x14ac:dyDescent="0.25">
      <c r="A171" s="7" t="s">
        <v>316</v>
      </c>
      <c r="B171" s="8"/>
      <c r="D171" s="7"/>
      <c r="F171" s="7"/>
      <c r="L171" s="7"/>
      <c r="M171" s="7"/>
    </row>
    <row r="172" spans="1:13" s="7" customFormat="1" x14ac:dyDescent="0.25">
      <c r="A172" s="7" t="s">
        <v>317</v>
      </c>
      <c r="B172" s="8"/>
      <c r="D172" s="7"/>
      <c r="F172" s="7"/>
      <c r="L172" s="7"/>
      <c r="M172" s="7"/>
    </row>
    <row r="173" spans="1:13" s="7" customFormat="1" x14ac:dyDescent="0.25">
      <c r="A173" s="7" t="s">
        <v>318</v>
      </c>
      <c r="B173" s="8"/>
      <c r="D173" s="7"/>
      <c r="F173" s="7"/>
      <c r="L173" s="7"/>
      <c r="M173" s="7"/>
    </row>
    <row r="174" spans="1:13" s="7" customFormat="1" x14ac:dyDescent="0.25">
      <c r="A174" s="7" t="s">
        <v>319</v>
      </c>
      <c r="B174" s="8"/>
      <c r="D174" s="7"/>
      <c r="F174" s="7"/>
      <c r="L174" s="7"/>
      <c r="M174" s="7"/>
    </row>
    <row r="175" spans="1:13" s="7" customFormat="1" x14ac:dyDescent="0.25">
      <c r="A175" s="7" t="s">
        <v>320</v>
      </c>
      <c r="B175" s="8"/>
      <c r="D175" s="7"/>
      <c r="F175" s="7"/>
      <c r="L175" s="7"/>
      <c r="M175" s="7"/>
    </row>
    <row r="176" spans="1:13" s="7" customFormat="1" x14ac:dyDescent="0.25">
      <c r="A176" s="7" t="s">
        <v>321</v>
      </c>
      <c r="B176" s="8"/>
      <c r="D176" s="7"/>
      <c r="F176" s="7"/>
      <c r="L176" s="7"/>
      <c r="M176" s="7"/>
    </row>
    <row r="177" spans="1:13" s="7" customFormat="1" x14ac:dyDescent="0.25">
      <c r="A177" s="7" t="s">
        <v>322</v>
      </c>
      <c r="B177" s="8"/>
      <c r="D177" s="7"/>
      <c r="F177" s="7"/>
      <c r="L177" s="7"/>
      <c r="M177" s="7"/>
    </row>
    <row r="178" spans="1:13" s="7" customFormat="1" x14ac:dyDescent="0.25">
      <c r="A178" s="7" t="s">
        <v>323</v>
      </c>
      <c r="B178" s="8"/>
      <c r="D178" s="7"/>
      <c r="F178" s="7"/>
      <c r="L178" s="7"/>
      <c r="M178" s="7"/>
    </row>
    <row r="179" spans="1:13" s="7" customFormat="1" x14ac:dyDescent="0.25">
      <c r="A179" s="7" t="s">
        <v>324</v>
      </c>
      <c r="B179" s="8"/>
      <c r="D179" s="7"/>
      <c r="F179" s="7"/>
      <c r="L179" s="7"/>
      <c r="M179" s="7"/>
    </row>
    <row r="180" spans="1:13" s="7" customFormat="1" x14ac:dyDescent="0.25">
      <c r="A180" s="7" t="s">
        <v>325</v>
      </c>
      <c r="B180" s="8"/>
      <c r="D180" s="7"/>
      <c r="F180" s="7"/>
      <c r="L180" s="7"/>
      <c r="M180" s="7"/>
    </row>
    <row r="181" spans="1:13" s="7" customFormat="1" x14ac:dyDescent="0.25">
      <c r="A181" s="7" t="s">
        <v>326</v>
      </c>
      <c r="B181" s="8"/>
      <c r="D181" s="7"/>
      <c r="F181" s="7"/>
      <c r="L181" s="7"/>
      <c r="M181" s="7"/>
    </row>
    <row r="182" spans="1:13" s="7" customFormat="1" x14ac:dyDescent="0.25">
      <c r="A182" s="7" t="s">
        <v>327</v>
      </c>
      <c r="B182" s="8"/>
      <c r="D182" s="7"/>
      <c r="F182" s="7"/>
      <c r="L182" s="7"/>
      <c r="M182" s="7"/>
    </row>
    <row r="183" spans="1:13" s="7" customFormat="1" x14ac:dyDescent="0.25">
      <c r="A183" s="7" t="s">
        <v>328</v>
      </c>
      <c r="B183" s="8"/>
      <c r="D183" s="7"/>
      <c r="F183" s="7"/>
      <c r="L183" s="7"/>
      <c r="M183" s="7"/>
    </row>
    <row r="184" spans="1:13" s="7" customFormat="1" x14ac:dyDescent="0.25">
      <c r="A184" s="7" t="s">
        <v>329</v>
      </c>
      <c r="B184" s="8"/>
      <c r="D184" s="7"/>
      <c r="F184" s="7"/>
      <c r="L184" s="7"/>
      <c r="M184" s="7"/>
    </row>
    <row r="185" spans="1:13" s="7" customFormat="1" x14ac:dyDescent="0.25">
      <c r="A185" s="7" t="s">
        <v>330</v>
      </c>
      <c r="B185" s="8"/>
      <c r="D185" s="7"/>
      <c r="F185" s="7"/>
      <c r="L185" s="7"/>
      <c r="M185" s="7"/>
    </row>
    <row r="186" spans="1:13" s="7" customFormat="1" x14ac:dyDescent="0.25">
      <c r="A186" s="7" t="s">
        <v>331</v>
      </c>
      <c r="B186" s="8"/>
      <c r="D186" s="7"/>
      <c r="F186" s="7"/>
      <c r="L186" s="7"/>
      <c r="M186" s="7"/>
    </row>
    <row r="187" spans="1:13" s="7" customFormat="1" x14ac:dyDescent="0.25">
      <c r="A187" s="7" t="s">
        <v>332</v>
      </c>
      <c r="B187" s="8"/>
      <c r="D187" s="7"/>
      <c r="F187" s="7"/>
      <c r="L187" s="7"/>
      <c r="M187" s="7"/>
    </row>
    <row r="188" spans="1:13" s="7" customFormat="1" x14ac:dyDescent="0.25">
      <c r="A188" s="7" t="s">
        <v>333</v>
      </c>
      <c r="B188" s="8"/>
      <c r="D188" s="7"/>
      <c r="F188" s="7"/>
      <c r="L188" s="7"/>
      <c r="M188" s="7"/>
    </row>
    <row r="189" spans="1:13" s="7" customFormat="1" x14ac:dyDescent="0.25">
      <c r="A189" s="7" t="s">
        <v>334</v>
      </c>
      <c r="B189" s="8"/>
      <c r="D189" s="7"/>
      <c r="F189" s="7"/>
      <c r="L189" s="7"/>
      <c r="M189" s="7"/>
    </row>
    <row r="190" spans="1:13" s="7" customFormat="1" x14ac:dyDescent="0.25">
      <c r="A190" s="7" t="s">
        <v>335</v>
      </c>
      <c r="B190" s="8"/>
      <c r="D190" s="7"/>
      <c r="F190" s="7"/>
      <c r="L190" s="7"/>
      <c r="M190" s="7"/>
    </row>
    <row r="191" spans="1:13" s="7" customFormat="1" x14ac:dyDescent="0.25">
      <c r="A191" s="7" t="s">
        <v>336</v>
      </c>
      <c r="B191" s="8"/>
      <c r="D191" s="7"/>
      <c r="F191" s="7"/>
      <c r="L191" s="7"/>
      <c r="M191" s="7"/>
    </row>
    <row r="192" spans="1:13" s="7" customFormat="1" x14ac:dyDescent="0.25">
      <c r="A192" s="7" t="s">
        <v>337</v>
      </c>
      <c r="B192" s="8"/>
      <c r="D192" s="7"/>
      <c r="F192" s="7"/>
      <c r="L192" s="7"/>
      <c r="M192" s="7"/>
    </row>
    <row r="193" spans="1:13" s="7" customFormat="1" x14ac:dyDescent="0.25">
      <c r="A193" s="7" t="s">
        <v>338</v>
      </c>
      <c r="B193" s="8"/>
      <c r="D193" s="7"/>
      <c r="F193" s="7"/>
      <c r="L193" s="7"/>
      <c r="M193" s="7"/>
    </row>
    <row r="194" spans="1:13" s="7" customFormat="1" x14ac:dyDescent="0.25">
      <c r="A194" s="7" t="s">
        <v>339</v>
      </c>
      <c r="B194" s="8"/>
      <c r="D194" s="7"/>
      <c r="F194" s="7"/>
      <c r="L194" s="7"/>
      <c r="M194" s="7"/>
    </row>
    <row r="195" spans="1:13" s="7" customFormat="1" x14ac:dyDescent="0.25">
      <c r="A195" s="7" t="s">
        <v>340</v>
      </c>
      <c r="B195" s="8"/>
      <c r="D195" s="7"/>
      <c r="F195" s="7"/>
      <c r="L195" s="7"/>
      <c r="M195" s="7"/>
    </row>
    <row r="196" spans="1:13" s="7" customFormat="1" x14ac:dyDescent="0.25">
      <c r="A196" s="7" t="s">
        <v>341</v>
      </c>
      <c r="B196" s="8"/>
      <c r="D196" s="7"/>
      <c r="F196" s="7"/>
      <c r="L196" s="7"/>
      <c r="M196" s="7"/>
    </row>
    <row r="197" spans="1:13" s="7" customFormat="1" x14ac:dyDescent="0.25">
      <c r="A197" s="7" t="s">
        <v>342</v>
      </c>
      <c r="B197" s="8"/>
      <c r="D197" s="7"/>
      <c r="F197" s="7"/>
      <c r="L197" s="7"/>
      <c r="M197" s="7"/>
    </row>
    <row r="198" spans="1:13" s="7" customFormat="1" x14ac:dyDescent="0.25">
      <c r="A198" s="7" t="s">
        <v>343</v>
      </c>
      <c r="B198" s="8"/>
      <c r="D198" s="7"/>
      <c r="F198" s="7"/>
      <c r="L198" s="7"/>
      <c r="M198" s="7"/>
    </row>
    <row r="199" spans="1:13" s="7" customFormat="1" x14ac:dyDescent="0.25">
      <c r="A199" s="7" t="s">
        <v>344</v>
      </c>
      <c r="B199" s="8"/>
      <c r="D199" s="7"/>
      <c r="F199" s="7"/>
      <c r="L199" s="7"/>
      <c r="M199" s="7"/>
    </row>
    <row r="200" spans="1:13" s="7" customFormat="1" x14ac:dyDescent="0.25">
      <c r="A200" s="7" t="s">
        <v>345</v>
      </c>
      <c r="B200" s="8"/>
      <c r="D200" s="7"/>
      <c r="F200" s="7"/>
      <c r="L200" s="7"/>
      <c r="M200" s="7"/>
    </row>
    <row r="201" spans="1:13" s="7" customFormat="1" x14ac:dyDescent="0.25">
      <c r="A201" s="7" t="s">
        <v>346</v>
      </c>
      <c r="B201" s="8"/>
      <c r="D201" s="7"/>
      <c r="F201" s="7"/>
      <c r="L201" s="7"/>
      <c r="M201" s="7"/>
    </row>
  </sheetData>
  <autoFilter ref="A1:N201"/>
  <conditionalFormatting sqref="L2:L201">
    <cfRule type="cellIs" dxfId="3" priority="1" operator="equal">
      <formula>"A"</formula>
    </cfRule>
    <cfRule type="cellIs" dxfId="4" priority="2" operator="equal">
      <formula>"B"</formula>
    </cfRule>
  </conditionalFormatting>
  <dataValidations count="8">
    <dataValidation type="list" allowBlank="1" sqref="D10:D201">
      <formula1>"Client,Staff,Reception/admin,Owner,Platform admin"</formula1>
    </dataValidation>
    <dataValidation type="list" allowBlank="1" sqref="D2:D201">
      <formula1>"Client,Staff,Reception/admin,Owner,Platform admin"</formula1>
    </dataValidation>
    <dataValidation type="list" allowBlank="1" sqref="F10:F201">
      <formula1>"ka,en,ru"</formula1>
    </dataValidation>
    <dataValidation type="list" allowBlank="1" sqref="F2:F201">
      <formula1>"ka,en,ru"</formula1>
    </dataValidation>
    <dataValidation type="list" allowBlank="1" sqref="L10:L201">
      <formula1>"A,B,C"</formula1>
    </dataValidation>
    <dataValidation type="list" allowBlank="1" sqref="L2:L201">
      <formula1>"A,B,C"</formula1>
    </dataValidation>
    <dataValidation type="list" allowBlank="1" sqref="M10:M201">
      <formula1>"New,Sent to Claude,Fixed,Checked,Won't fix"</formula1>
    </dataValidation>
    <dataValidation type="list" allowBlank="1" sqref="M2:M201">
      <formula1>"New,Sent to Claude,Fixed,Checked,Won't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12" customWidth="1"/>
  </cols>
  <sheetData>
    <row r="1" spans="1:1" s="4" customFormat="1" x14ac:dyDescent="0.25">
      <c r="A1" s="4" t="s">
        <v>12</v>
      </c>
    </row>
    <row r="2" spans="1:2" x14ac:dyDescent="0.25">
      <c r="A2" t="s">
        <v>13</v>
      </c>
      <c r="B2">
        <f>COUNTA(Scenarios!D2:D51)</f>
      </c>
    </row>
    <row r="3" spans="1:2" x14ac:dyDescent="0.25">
      <c r="A3" t="s">
        <v>14</v>
      </c>
      <c r="B3">
        <f>COUNTIF(Scenarios!J2:J51,"Pass")</f>
      </c>
    </row>
    <row r="4" spans="1:2" x14ac:dyDescent="0.25">
      <c r="A4" t="s">
        <v>15</v>
      </c>
      <c r="B4">
        <f>COUNTIF(Scenarios!J2:J51,"Fail")</f>
      </c>
    </row>
    <row r="5" spans="1:2" x14ac:dyDescent="0.25">
      <c r="A5" t="s">
        <v>16</v>
      </c>
      <c r="B5">
        <f>COUNTIF(Scenarios!J2:J51,"Blocked")</f>
      </c>
    </row>
    <row r="6" spans="1:2" x14ac:dyDescent="0.25">
      <c r="A6" t="s">
        <v>17</v>
      </c>
      <c r="B6">
        <f>B2-B3-B4-B5</f>
      </c>
    </row>
    <row r="7" spans="1:1" x14ac:dyDescent="0.25">
      <c r="A7" t="s">
        <v>1</v>
      </c>
    </row>
    <row r="8" spans="1:1" s="4" customFormat="1" x14ac:dyDescent="0.25">
      <c r="A8" s="4" t="s">
        <v>18</v>
      </c>
    </row>
    <row r="9" spans="1:2" x14ac:dyDescent="0.25">
      <c r="A9" s="5" t="s">
        <v>19</v>
      </c>
      <c r="B9">
        <f>COUNTIFS(Problems!L2:L201,"A",Problems!M2:M201,"&lt;&gt;Checked",Problems!M2:M201,"&lt;&gt;Won't fix")</f>
      </c>
    </row>
    <row r="10" spans="1:2" x14ac:dyDescent="0.25">
      <c r="A10" t="s">
        <v>20</v>
      </c>
      <c r="B10">
        <f>COUNTIFS(Problems!L2:L201,"B",Problems!M2:M201,"&lt;&gt;Checked",Problems!M2:M201,"&lt;&gt;Won't fix")</f>
      </c>
    </row>
    <row r="11" spans="1:2" x14ac:dyDescent="0.25">
      <c r="A11" t="s">
        <v>21</v>
      </c>
      <c r="B11">
        <f>COUNTIFS(Problems!L2:L201,"C",Problems!M2:M201,"&lt;&gt;Checked",Problems!M2:M201,"&lt;&gt;Won't fix")</f>
      </c>
    </row>
    <row r="12" spans="1:2" x14ac:dyDescent="0.25">
      <c r="A12" t="s">
        <v>22</v>
      </c>
      <c r="B12">
        <f>COUNTIF(Problems!M2:M201,"Checked")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</vt:lpstr>
      <vt:lpstr>Summary</vt:lpstr>
      <vt:lpstr>Scenarios</vt:lpstr>
      <vt:lpstr>Problems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Bookeria</dc:creator>
  <dc:title/>
  <dc:subject/>
  <dc:description/>
  <cp:keywords/>
  <cp:category/>
  <cp:lastModifiedBy>Unknown</cp:lastModifiedBy>
  <dcterms:created xsi:type="dcterms:W3CDTF">2026-10-29T16:49:36Z</dcterms:created>
  <dcterms:modified xsi:type="dcterms:W3CDTF">2026-10-29T16:49:36Z</dcterms:modified>
</cp:coreProperties>
</file>